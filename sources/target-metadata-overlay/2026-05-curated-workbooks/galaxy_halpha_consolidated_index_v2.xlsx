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22d3daaa9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laxy Index" sheetId="1" r:id="R1c4e258499ae48e5"/>
    <x:sheet xmlns:r="http://schemas.openxmlformats.org/officeDocument/2006/relationships" name="Summary" sheetId="2" r:id="R77bd61c9b9504fad"/>
    <x:sheet xmlns:r="http://schemas.openxmlformats.org/officeDocument/2006/relationships" name="Sources + Notes" sheetId="3" r:id="Rff0422a3a1e9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ec8e525714de7" /><Relationship Type="http://schemas.openxmlformats.org/officeDocument/2006/relationships/theme" Target="/xl/theme/theme1.xml" Id="R08a806bcdadb4af0" /><Relationship Type="http://schemas.openxmlformats.org/officeDocument/2006/relationships/sharedStrings" Target="/xl/sharedStrings.xml" Id="R67b2b63f12794911" /><Relationship Type="http://schemas.openxmlformats.org/officeDocument/2006/relationships/worksheet" Target="/xl/worksheets/sheet1.xml" Id="R1c4e258499ae48e5" /><Relationship Type="http://schemas.openxmlformats.org/officeDocument/2006/relationships/worksheet" Target="/xl/worksheets/sheet2.xml" Id="R77bd61c9b9504fad" /><Relationship Type="http://schemas.openxmlformats.org/officeDocument/2006/relationships/worksheet" Target="/xl/worksheets/sheet3.xml" Id="Rff0422a3a1e947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b42c6bad9b49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Visible Hα Classification Counts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b42c6bad9b49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laxyIndexTable" displayName="GalaxyIndexTable" ref="A1:W104" headerRowCount="1">
  <x:tableColumns count="23">
    <x:tableColumn id="1" name="Catalog ID"/>
    <x:tableColumn id="2" name="Common name"/>
    <x:tableColumn id="3" name="RA (J2000)"/>
    <x:tableColumn id="4" name="Dec (J2000)"/>
    <x:tableColumn id="5" name="Constellation"/>
    <x:tableColumn id="6" name="Hemisphere visibility"/>
    <x:tableColumn id="7" name="Angular size (arcmin)"/>
    <x:tableColumn id="8" name="Major axis (arcmin)"/>
    <x:tableColumn id="9" name="Minor axis (arcmin)"/>
    <x:tableColumn id="10" name="Magnitude"/>
    <x:tableColumn id="11" name="Mag band"/>
    <x:tableColumn id="12" name="Galaxy type"/>
    <x:tableColumn id="13" name="Visible Hα?"/>
    <x:tableColumn id="14" name="Visible Dust?"/>
    <x:tableColumn id="15" name="OIII/SII-rich?"/>
    <x:tableColumn id="16" name="NJ / Seestar practicality"/>
    <x:tableColumn id="17" name="Hα priority (1-5)"/>
    <x:tableColumn id="18" name="WXSC rank"/>
    <x:tableColumn id="19" name="Source group"/>
    <x:tableColumn id="20" name="Project context"/>
    <x:tableColumn id="21" name="Notes"/>
    <x:tableColumn id="22" name="Catalog source URL"/>
    <x:tableColumn id="23" name="Evidence/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C9" headerRowCount="1">
  <x:tableColumns count="3">
    <x:tableColumn id="1" name="Source / note"/>
    <x:tableColumn id="2" name="How used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e965a6cccc43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836bcfce3414c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0c02ebf2a34e64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3" hidden="0" customWidth="1"/>
    <x:col min="4" max="4" width="13" hidden="0" customWidth="1"/>
    <x:col min="5" max="5" width="16" hidden="0" customWidth="1"/>
    <x:col min="6" max="6" width="18" hidden="0" customWidth="1"/>
    <x:col min="7" max="7" width="18" hidden="0" customWidth="1"/>
    <x:col min="8" max="8" width="11" hidden="0" customWidth="1"/>
    <x:col min="9" max="9" width="11" hidden="0" customWidth="1"/>
    <x:col min="10" max="10" width="10" hidden="0" customWidth="1"/>
    <x:col min="11" max="11" width="13" hidden="0" customWidth="1"/>
    <x:col min="12" max="12" width="25" hidden="0" customWidth="1"/>
    <x:col min="13" max="13" width="12" hidden="0" customWidth="1"/>
    <x:col min="14" max="14" width="12" hidden="0" customWidth="1"/>
    <x:col min="15" max="15" width="13" hidden="0" customWidth="1"/>
    <x:col min="16" max="16" width="24" hidden="0" customWidth="1"/>
    <x:col min="17" max="17" width="13" hidden="0" customWidth="1"/>
    <x:col min="18" max="18" width="10" hidden="0" customWidth="1"/>
    <x:col min="19" max="19" width="24" hidden="0" customWidth="1"/>
    <x:col min="20" max="20" width="28" hidden="0" customWidth="1"/>
    <x:col min="21" max="21" width="42" hidden="0" customWidth="1"/>
    <x:col min="22" max="22" width="42" hidden="0" customWidth="1"/>
    <x:col min="23" max="23" width="42" hidden="0" customWidth="1"/>
  </x:cols>
  <x:sheetData>
    <x:row r="1" ht="32" customHeight="1">
      <x:c r="A1" s="6" t="str">
        <x:v>Catalog ID</x:v>
      </x:c>
      <x:c r="B1" s="6" t="str">
        <x:v>Common name</x:v>
      </x:c>
      <x:c r="C1" s="6" t="str">
        <x:v>RA (J2000)</x:v>
      </x:c>
      <x:c r="D1" s="6" t="str">
        <x:v>Dec (J2000)</x:v>
      </x:c>
      <x:c r="E1" s="6" t="str">
        <x:v>Constellation</x:v>
      </x:c>
      <x:c r="F1" s="6" t="str">
        <x:v>Hemisphere visibility</x:v>
      </x:c>
      <x:c r="G1" s="6" t="str">
        <x:v>Angular size (arcmin)</x:v>
      </x:c>
      <x:c r="H1" s="6" t="str">
        <x:v>Major axis (arcmin)</x:v>
      </x:c>
      <x:c r="I1" s="6" t="str">
        <x:v>Minor axis (arcmin)</x:v>
      </x:c>
      <x:c r="J1" s="6" t="str">
        <x:v>Magnitude</x:v>
      </x:c>
      <x:c r="K1" s="6" t="str">
        <x:v>Mag band</x:v>
      </x:c>
      <x:c r="L1" s="6" t="str">
        <x:v>Galaxy type</x:v>
      </x:c>
      <x:c r="M1" s="6" t="str">
        <x:v>Visible Hα?</x:v>
      </x:c>
      <x:c r="N1" s="6" t="str">
        <x:v>Visible Dust?</x:v>
      </x:c>
      <x:c r="O1" s="6" t="str">
        <x:v>OIII/SII-rich?</x:v>
      </x:c>
      <x:c r="P1" s="6" t="str">
        <x:v>NJ / Seestar practicality</x:v>
      </x:c>
      <x:c r="Q1" s="6" t="str">
        <x:v>Hα priority (1-5)</x:v>
      </x:c>
      <x:c r="R1" s="6" t="str">
        <x:v>WXSC rank</x:v>
      </x:c>
      <x:c r="S1" s="6" t="str">
        <x:v>Source group</x:v>
      </x:c>
      <x:c r="T1" s="6" t="str">
        <x:v>Project context</x:v>
      </x:c>
      <x:c r="U1" s="6" t="str">
        <x:v>Notes</x:v>
      </x:c>
      <x:c r="V1" s="6" t="str">
        <x:v>Catalog source URL</x:v>
      </x:c>
      <x:c r="W1" s="6" t="str">
        <x:v>Evidence/source URL</x:v>
      </x:c>
    </x:row>
    <x:row r="2">
      <x:c r="A2" s="13" t="str">
        <x:v>M31 / NGC 224</x:v>
      </x:c>
      <x:c r="B2" s="13" t="str">
        <x:v>Andromeda Galaxy</x:v>
      </x:c>
      <x:c r="C2" s="13" t="str">
        <x:v>00:42:44.35</x:v>
      </x:c>
      <x:c r="D2" s="13" t="str">
        <x:v>+41:16:08.6</x:v>
      </x:c>
      <x:c r="E2" s="13" t="str">
        <x:v>Andromeda</x:v>
      </x:c>
      <x:c r="F2" s="13" t="str">
        <x:v>Both hemispheres</x:v>
      </x:c>
      <x:c r="G2" s="13" t="str">
        <x:v>177.83 × 69.66</x:v>
      </x:c>
      <x:c r="H2" s="16" t="n">
        <x:v>177.83</x:v>
      </x:c>
      <x:c r="I2" s="16" t="n">
        <x:v>69.66</x:v>
      </x:c>
      <x:c r="J2" s="16" t="n">
        <x:v>3.44</x:v>
      </x:c>
      <x:c r="K2" s="13" t="str">
        <x:v>V</x:v>
      </x:c>
      <x:c r="L2" s="13" t="str">
        <x:v>Spiral (Sb)</x:v>
      </x:c>
      <x:c r="M2" s="13" t="str">
        <x:v>Weak</x:v>
      </x:c>
      <x:c r="N2" s="13" t="str">
        <x:v>Yes</x:v>
      </x:c>
      <x:c r="O2" s="13" t="str">
        <x:v>No</x:v>
      </x:c>
      <x:c r="P2" s="13" t="str">
        <x:v>Yes</x:v>
      </x:c>
      <x:c r="Q2" s="18" t="n">
        <x:v>3</x:v>
      </x:c>
      <x:c r="R2" s="18" t="n">
        <x:v>3</x:v>
      </x:c>
      <x:c r="S2" s="13" t="str">
        <x:v>Project-discussed target</x:v>
      </x:c>
      <x:c r="T2" s="13" t="str">
        <x:v>Oct 2025 CAP</x:v>
      </x:c>
      <x:c r="U2" s="13" t="str">
        <x:v>Hα regions exist, but are spread across a very large galaxy; better as a mosaic/outer-arm project than a small-frame Hα showcase.</x:v>
      </x:c>
      <x:c r="V2" s="13" t="str">
        <x:v>https://github.com/mattiaverga/openngc</x:v>
      </x:c>
      <x:c r="W2" s="13" t="str">
        <x:v>https://github.com/mattiaverga/openngc</x:v>
      </x:c>
    </x:row>
    <x:row r="3">
      <x:c r="A3" s="13" t="str">
        <x:v>M33 / NGC 598</x:v>
      </x:c>
      <x:c r="B3" s="13" t="str">
        <x:v>Triangulum Galaxy</x:v>
      </x:c>
      <x:c r="C3" s="13" t="str">
        <x:v>01:33:50.89</x:v>
      </x:c>
      <x:c r="D3" s="13" t="str">
        <x:v>+30:39:36.8</x:v>
      </x:c>
      <x:c r="E3" s="13" t="str">
        <x:v>Triangulum</x:v>
      </x:c>
      <x:c r="F3" s="13" t="str">
        <x:v>Both hemispheres</x:v>
      </x:c>
      <x:c r="G3" s="13" t="str">
        <x:v>62.09 × 36.73</x:v>
      </x:c>
      <x:c r="H3" s="16" t="n">
        <x:v>62.09</x:v>
      </x:c>
      <x:c r="I3" s="16" t="n">
        <x:v>36.73</x:v>
      </x:c>
      <x:c r="J3" s="16" t="n">
        <x:v>5.79</x:v>
      </x:c>
      <x:c r="K3" s="13" t="str">
        <x:v>V</x:v>
      </x:c>
      <x:c r="L3" s="13" t="str">
        <x:v>Spiral (Sc)</x:v>
      </x:c>
      <x:c r="M3" s="13" t="str">
        <x:v>Yes</x:v>
      </x:c>
      <x:c r="N3" s="13" t="str">
        <x:v>Weak</x:v>
      </x:c>
      <x:c r="O3" s="13" t="str">
        <x:v>Weak</x:v>
      </x:c>
      <x:c r="P3" s="13" t="str">
        <x:v>Yes</x:v>
      </x:c>
      <x:c r="Q3" s="18" t="n">
        <x:v>5</x:v>
      </x:c>
      <x:c r="R3" s="18" t="n">
        <x:v>4</x:v>
      </x:c>
      <x:c r="S3" s="13" t="str">
        <x:v>Project-discussed target</x:v>
      </x:c>
      <x:c r="T3" s="13" t="str">
        <x:v>Oct 2025 CAP</x:v>
      </x:c>
      <x:c r="U3" s="13" t="str">
        <x:v>One of the best northern galaxy Hα targets; NGC 604 and many other H II regions can show clearly.</x:v>
      </x:c>
      <x:c r="V3" s="13" t="str">
        <x:v>https://github.com/mattiaverga/openngc</x:v>
      </x:c>
      <x:c r="W3" s="13" t="str">
        <x:v>https://science.nasa.gov/mission/hubble/science/explore-the-night-sky/hubble-messier-catalog/messier-33/</x:v>
      </x:c>
    </x:row>
    <x:row r="4">
      <x:c r="A4" s="13" t="str">
        <x:v>M49 / NGC 4472</x:v>
      </x:c>
      <x:c r="B4" s="13" t="str">
        <x:v>—</x:v>
      </x:c>
      <x:c r="C4" s="13" t="str">
        <x:v>12:29:46.76</x:v>
      </x:c>
      <x:c r="D4" s="13" t="str">
        <x:v>+08:00:01.7</x:v>
      </x:c>
      <x:c r="E4" s="13" t="str">
        <x:v>Virgo</x:v>
      </x:c>
      <x:c r="F4" s="13" t="str">
        <x:v>Both hemispheres</x:v>
      </x:c>
      <x:c r="G4" s="13" t="str">
        <x:v>10.21 × 8.38</x:v>
      </x:c>
      <x:c r="H4" s="16" t="n">
        <x:v>10.21</x:v>
      </x:c>
      <x:c r="I4" s="16" t="n">
        <x:v>8.38</x:v>
      </x:c>
      <x:c r="J4" s="16" t="n">
        <x:v>8.28</x:v>
      </x:c>
      <x:c r="K4" s="13" t="str">
        <x:v>V</x:v>
      </x:c>
      <x:c r="L4" s="13" t="str">
        <x:v>Elliptical (E)</x:v>
      </x:c>
      <x:c r="M4" s="13" t="str">
        <x:v>No</x:v>
      </x:c>
      <x:c r="N4" s="13" t="str">
        <x:v>No</x:v>
      </x:c>
      <x:c r="O4" s="13" t="str">
        <x:v>No</x:v>
      </x:c>
      <x:c r="P4" s="13" t="str">
        <x:v>Yes</x:v>
      </x:c>
      <x:c r="Q4" s="18" t="n">
        <x:v>1</x:v>
      </x:c>
      <x:c r="R4" s="18" t="n">
        <x:v>13</x:v>
      </x:c>
      <x:c r="S4" s="13" t="str">
        <x:v>Project-discussed target</x:v>
      </x:c>
      <x:c r="T4" s="13" t="str">
        <x:v>Mar 2026 CAP</x:v>
      </x:c>
      <x:c r="U4" s="13" t="str">
        <x:v>Elliptical Virgo galaxy; not a visible H II-region target.</x:v>
      </x:c>
      <x:c r="V4" s="13" t="str">
        <x:v>https://github.com/mattiaverga/openngc</x:v>
      </x:c>
      <x:c r="W4" s="13" t="str">
        <x:v>https://github.com/mattiaverga/openngc</x:v>
      </x:c>
    </x:row>
    <x:row r="5">
      <x:c r="A5" s="13" t="str">
        <x:v>M51 / NGC 5194</x:v>
      </x:c>
      <x:c r="B5" s="13" t="str">
        <x:v>Whirlpool Galaxy</x:v>
      </x:c>
      <x:c r="C5" s="13" t="str">
        <x:v>13:29:52.71</x:v>
      </x:c>
      <x:c r="D5" s="13" t="str">
        <x:v>+47:11:42.6</x:v>
      </x:c>
      <x:c r="E5" s="13" t="str">
        <x:v>Canes Venatici</x:v>
      </x:c>
      <x:c r="F5" s="13" t="str">
        <x:v>Both hemispheres</x:v>
      </x:c>
      <x:c r="G5" s="13" t="str">
        <x:v>13.71 × 11.67</x:v>
      </x:c>
      <x:c r="H5" s="16" t="n">
        <x:v>13.71</x:v>
      </x:c>
      <x:c r="I5" s="16" t="n">
        <x:v>11.67</x:v>
      </x:c>
      <x:c r="J5" s="16" t="n">
        <x:v>8.36</x:v>
      </x:c>
      <x:c r="K5" s="13" t="str">
        <x:v>V</x:v>
      </x:c>
      <x:c r="L5" s="13" t="str">
        <x:v>Intermediate barred spiral (SABb)</x:v>
      </x:c>
      <x:c r="M5" s="13" t="str">
        <x:v>Yes</x:v>
      </x:c>
      <x:c r="N5" s="13" t="str">
        <x:v>Yes</x:v>
      </x:c>
      <x:c r="O5" s="13" t="str">
        <x:v>No</x:v>
      </x:c>
      <x:c r="P5" s="13" t="str">
        <x:v>Yes</x:v>
      </x:c>
      <x:c r="Q5" s="18" t="n">
        <x:v>5</x:v>
      </x:c>
      <x:c r="R5" s="18" t="n">
        <x:v>42</x:v>
      </x:c>
      <x:c r="S5" s="13" t="str">
        <x:v>Project-discussed target</x:v>
      </x:c>
      <x:c r="T5" s="13" t="str">
        <x:v>Apr 2025 CAP; Apr 2026 CAP</x:v>
      </x:c>
      <x:c r="U5" s="13" t="str">
        <x:v>Hα knots are visible along the spiral arms; excellent spring galaxy for Hα enhancement.</x:v>
      </x:c>
      <x:c r="V5" s="13" t="str">
        <x:v>https://github.com/mattiaverga/openngc</x:v>
      </x:c>
      <x:c r="W5" s="13" t="str">
        <x:v>https://arxiv.org/abs/astro-ph/0008437</x:v>
      </x:c>
    </x:row>
    <x:row r="6">
      <x:c r="A6" s="13" t="str">
        <x:v>NGC 5195</x:v>
      </x:c>
      <x:c r="B6" s="13" t="str">
        <x:v>Whirlpool companion</x:v>
      </x:c>
      <x:c r="C6" s="13" t="str">
        <x:v>13:29:59.59</x:v>
      </x:c>
      <x:c r="D6" s="13" t="str">
        <x:v>+47:15:58.1</x:v>
      </x:c>
      <x:c r="E6" s="13" t="str">
        <x:v>Canes Venatici</x:v>
      </x:c>
      <x:c r="F6" s="13" t="str">
        <x:v>Both hemispheres</x:v>
      </x:c>
      <x:c r="G6" s="13" t="str">
        <x:v>5.50 × 4.36</x:v>
      </x:c>
      <x:c r="H6" s="16" t="n">
        <x:v>5.5</x:v>
      </x:c>
      <x:c r="I6" s="16" t="n">
        <x:v>4.36</x:v>
      </x:c>
      <x:c r="J6" s="16" t="n">
        <x:v>9.58</x:v>
      </x:c>
      <x:c r="K6" s="13" t="str">
        <x:v>V</x:v>
      </x:c>
      <x:c r="L6" s="13" t="str">
        <x:v>Barred spiral (SBa)</x:v>
      </x:c>
      <x:c r="M6" s="13" t="str">
        <x:v>No</x:v>
      </x:c>
      <x:c r="N6" s="13" t="str">
        <x:v>Weak</x:v>
      </x:c>
      <x:c r="O6" s="13" t="str">
        <x:v>No</x:v>
      </x:c>
      <x:c r="P6" s="13" t="str">
        <x:v>Yes</x:v>
      </x:c>
      <x:c r="Q6" s="18" t="n">
        <x:v>1</x:v>
      </x:c>
      <x:c r="R6" s="18" t="str"/>
      <x:c r="S6" s="13" t="str">
        <x:v>Project-discussed target</x:v>
      </x:c>
      <x:c r="T6" s="13" t="str">
        <x:v>Apr 2025 CAP; Apr 2026 CAP</x:v>
      </x:c>
      <x:c r="U6" s="13" t="str">
        <x:v>Interesting interacting companion to M51, but not a strong standalone Hα-region target.</x:v>
      </x:c>
      <x:c r="V6" s="13" t="str">
        <x:v>https://github.com/mattiaverga/openngc</x:v>
      </x:c>
      <x:c r="W6" s="13" t="str">
        <x:v>https://github.com/mattiaverga/openngc</x:v>
      </x:c>
    </x:row>
    <x:row r="7">
      <x:c r="A7" s="13" t="str">
        <x:v>M58 / NGC 4579</x:v>
      </x:c>
      <x:c r="B7" s="13" t="str">
        <x:v>—</x:v>
      </x:c>
      <x:c r="C7" s="13" t="str">
        <x:v>12:37:43.52</x:v>
      </x:c>
      <x:c r="D7" s="13" t="str">
        <x:v>+11:49:05.5</x:v>
      </x:c>
      <x:c r="E7" s="13" t="str">
        <x:v>Virgo</x:v>
      </x:c>
      <x:c r="F7" s="13" t="str">
        <x:v>Both hemispheres</x:v>
      </x:c>
      <x:c r="G7" s="13" t="str">
        <x:v>5.01 × 3.84</x:v>
      </x:c>
      <x:c r="H7" s="16" t="n">
        <x:v>5.01</x:v>
      </x:c>
      <x:c r="I7" s="16" t="n">
        <x:v>3.84</x:v>
      </x:c>
      <x:c r="J7" s="16" t="n">
        <x:v>10.3</x:v>
      </x:c>
      <x:c r="K7" s="13" t="str">
        <x:v>V</x:v>
      </x:c>
      <x:c r="L7" s="13" t="str">
        <x:v>Spiral (Sb)</x:v>
      </x:c>
      <x:c r="M7" s="13" t="str">
        <x:v>Weak</x:v>
      </x:c>
      <x:c r="N7" s="13" t="str">
        <x:v>Weak</x:v>
      </x:c>
      <x:c r="O7" s="13" t="str">
        <x:v>No</x:v>
      </x:c>
      <x:c r="P7" s="13" t="str">
        <x:v>Yes</x:v>
      </x:c>
      <x:c r="Q7" s="18" t="n">
        <x:v>3</x:v>
      </x:c>
      <x:c r="R7" s="18" t="str"/>
      <x:c r="S7" s="13" t="str">
        <x:v>Project-discussed target</x:v>
      </x:c>
      <x:c r="T7" s="13" t="str">
        <x:v>Apr 2026 CAP</x:v>
      </x:c>
      <x:c r="U7" s="13" t="str">
        <x:v>Spiral galaxy with some Hα, but small/faint at Virgo distance.</x:v>
      </x:c>
      <x:c r="V7" s="13" t="str">
        <x:v>https://github.com/mattiaverga/openngc</x:v>
      </x:c>
      <x:c r="W7" s="13" t="str">
        <x:v>https://github.com/mattiaverga/openngc</x:v>
      </x:c>
    </x:row>
    <x:row r="8">
      <x:c r="A8" s="13" t="str">
        <x:v>M59 / NGC 4621</x:v>
      </x:c>
      <x:c r="B8" s="13" t="str">
        <x:v>—</x:v>
      </x:c>
      <x:c r="C8" s="13" t="str">
        <x:v>12:42:02.24</x:v>
      </x:c>
      <x:c r="D8" s="13" t="str">
        <x:v>+11:38:49.3</x:v>
      </x:c>
      <x:c r="E8" s="13" t="str">
        <x:v>Virgo</x:v>
      </x:c>
      <x:c r="F8" s="13" t="str">
        <x:v>Both hemispheres</x:v>
      </x:c>
      <x:c r="G8" s="13" t="str">
        <x:v>4.55 × 3.21</x:v>
      </x:c>
      <x:c r="H8" s="16" t="n">
        <x:v>4.55</x:v>
      </x:c>
      <x:c r="I8" s="16" t="n">
        <x:v>3.21</x:v>
      </x:c>
      <x:c r="J8" s="16" t="n">
        <x:v>9.56</x:v>
      </x:c>
      <x:c r="K8" s="13" t="str">
        <x:v>V</x:v>
      </x:c>
      <x:c r="L8" s="13" t="str">
        <x:v>Elliptical (E)</x:v>
      </x:c>
      <x:c r="M8" s="13" t="str">
        <x:v>No</x:v>
      </x:c>
      <x:c r="N8" s="13" t="str">
        <x:v>No</x:v>
      </x:c>
      <x:c r="O8" s="13" t="str">
        <x:v>No</x:v>
      </x:c>
      <x:c r="P8" s="13" t="str">
        <x:v>Yes</x:v>
      </x:c>
      <x:c r="Q8" s="18" t="n">
        <x:v>1</x:v>
      </x:c>
      <x:c r="R8" s="18" t="n">
        <x:v>81</x:v>
      </x:c>
      <x:c r="S8" s="13" t="str">
        <x:v>Project-discussed target</x:v>
      </x:c>
      <x:c r="T8" s="13" t="str">
        <x:v>Apr 2026 CAP</x:v>
      </x:c>
      <x:c r="U8" s="13" t="str">
        <x:v>Elliptical Virgo galaxy; not a star-forming Hα target.</x:v>
      </x:c>
      <x:c r="V8" s="13" t="str">
        <x:v>https://github.com/mattiaverga/openngc</x:v>
      </x:c>
      <x:c r="W8" s="13" t="str">
        <x:v>https://github.com/mattiaverga/openngc</x:v>
      </x:c>
    </x:row>
    <x:row r="9">
      <x:c r="A9" s="13" t="str">
        <x:v>M60 / NGC 4649</x:v>
      </x:c>
      <x:c r="B9" s="13" t="str">
        <x:v>—</x:v>
      </x:c>
      <x:c r="C9" s="13" t="str">
        <x:v>12:43:39.98</x:v>
      </x:c>
      <x:c r="D9" s="13" t="str">
        <x:v>+11:33:09.7</x:v>
      </x:c>
      <x:c r="E9" s="13" t="str">
        <x:v>Virgo</x:v>
      </x:c>
      <x:c r="F9" s="13" t="str">
        <x:v>Both hemispheres</x:v>
      </x:c>
      <x:c r="G9" s="13" t="str">
        <x:v>6.78 × 5.45</x:v>
      </x:c>
      <x:c r="H9" s="16" t="n">
        <x:v>6.78</x:v>
      </x:c>
      <x:c r="I9" s="16" t="n">
        <x:v>5.45</x:v>
      </x:c>
      <x:c r="J9" s="16" t="n">
        <x:v>8.79</x:v>
      </x:c>
      <x:c r="K9" s="13" t="str">
        <x:v>V</x:v>
      </x:c>
      <x:c r="L9" s="13" t="str">
        <x:v>Elliptical (E)</x:v>
      </x:c>
      <x:c r="M9" s="13" t="str">
        <x:v>No</x:v>
      </x:c>
      <x:c r="N9" s="13" t="str">
        <x:v>No</x:v>
      </x:c>
      <x:c r="O9" s="13" t="str">
        <x:v>No</x:v>
      </x:c>
      <x:c r="P9" s="13" t="str">
        <x:v>Yes</x:v>
      </x:c>
      <x:c r="Q9" s="18" t="n">
        <x:v>1</x:v>
      </x:c>
      <x:c r="R9" s="18" t="n">
        <x:v>37</x:v>
      </x:c>
      <x:c r="S9" s="13" t="str">
        <x:v>Project-discussed target</x:v>
      </x:c>
      <x:c r="T9" s="13" t="str">
        <x:v>Apr 2026 CAP</x:v>
      </x:c>
      <x:c r="U9" s="13" t="str">
        <x:v>Elliptical Virgo galaxy; not a star-forming Hα target.</x:v>
      </x:c>
      <x:c r="V9" s="13" t="str">
        <x:v>https://github.com/mattiaverga/openngc</x:v>
      </x:c>
      <x:c r="W9" s="13" t="str">
        <x:v>https://github.com/mattiaverga/openngc</x:v>
      </x:c>
    </x:row>
    <x:row r="10">
      <x:c r="A10" s="13" t="str">
        <x:v>M61 / NGC 4303</x:v>
      </x:c>
      <x:c r="B10" s="13" t="str">
        <x:v>—</x:v>
      </x:c>
      <x:c r="C10" s="13" t="str">
        <x:v>12:21:54.90</x:v>
      </x:c>
      <x:c r="D10" s="13" t="str">
        <x:v>+04:28:25.1</x:v>
      </x:c>
      <x:c r="E10" s="13" t="str">
        <x:v>Virgo</x:v>
      </x:c>
      <x:c r="F10" s="13" t="str">
        <x:v>Both hemispheres</x:v>
      </x:c>
      <x:c r="G10" s="13" t="str">
        <x:v>6.89 × 6.56</x:v>
      </x:c>
      <x:c r="H10" s="16" t="n">
        <x:v>6.89</x:v>
      </x:c>
      <x:c r="I10" s="16" t="n">
        <x:v>6.56</x:v>
      </x:c>
      <x:c r="J10" s="16" t="n">
        <x:v>10.25</x:v>
      </x:c>
      <x:c r="K10" s="13" t="str">
        <x:v>V</x:v>
      </x:c>
      <x:c r="L10" s="13" t="str">
        <x:v>Spiral (Sbc)</x:v>
      </x:c>
      <x:c r="M10" s="13" t="str">
        <x:v>Yes</x:v>
      </x:c>
      <x:c r="N10" s="13" t="str">
        <x:v>Weak</x:v>
      </x:c>
      <x:c r="O10" s="13" t="str">
        <x:v>No</x:v>
      </x:c>
      <x:c r="P10" s="13" t="str">
        <x:v>Yes</x:v>
      </x:c>
      <x:c r="Q10" s="18" t="n">
        <x:v>4</x:v>
      </x:c>
      <x:c r="R10" s="18" t="str"/>
      <x:c r="S10" s="13" t="str">
        <x:v>Project-discussed target</x:v>
      </x:c>
      <x:c r="T10" s="13" t="str">
        <x:v>Mar 2026 CAP</x:v>
      </x:c>
      <x:c r="U10" s="13" t="str">
        <x:v>Star-forming Virgo spiral; worthwhile but smaller/fainter than M33/M101.</x:v>
      </x:c>
      <x:c r="V10" s="13" t="str">
        <x:v>https://github.com/mattiaverga/openngc</x:v>
      </x:c>
      <x:c r="W10" s="13" t="str">
        <x:v>https://www.mpia.de/5720090/2021-07-phangs-muse-en</x:v>
      </x:c>
    </x:row>
    <x:row r="11">
      <x:c r="A11" s="13" t="str">
        <x:v>M63 / NGC 5055</x:v>
      </x:c>
      <x:c r="B11" s="13" t="str">
        <x:v>Sunflower Galaxy</x:v>
      </x:c>
      <x:c r="C11" s="13" t="str">
        <x:v>13:15:49.33</x:v>
      </x:c>
      <x:c r="D11" s="13" t="str">
        <x:v>+42:01:45.4</x:v>
      </x:c>
      <x:c r="E11" s="13" t="str">
        <x:v>Canes Venatici</x:v>
      </x:c>
      <x:c r="F11" s="13" t="str">
        <x:v>Both hemispheres</x:v>
      </x:c>
      <x:c r="G11" s="13" t="str">
        <x:v>11.83 × 7.16</x:v>
      </x:c>
      <x:c r="H11" s="16" t="n">
        <x:v>11.83</x:v>
      </x:c>
      <x:c r="I11" s="16" t="n">
        <x:v>7.16</x:v>
      </x:c>
      <x:c r="J11" s="16" t="n">
        <x:v>8.61</x:v>
      </x:c>
      <x:c r="K11" s="13" t="str">
        <x:v>V</x:v>
      </x:c>
      <x:c r="L11" s="13" t="str">
        <x:v>Spiral (Sbc)</x:v>
      </x:c>
      <x:c r="M11" s="13" t="str">
        <x:v>Yes</x:v>
      </x:c>
      <x:c r="N11" s="13" t="str">
        <x:v>Yes</x:v>
      </x:c>
      <x:c r="O11" s="13" t="str">
        <x:v>No</x:v>
      </x:c>
      <x:c r="P11" s="13" t="str">
        <x:v>Yes</x:v>
      </x:c>
      <x:c r="Q11" s="18" t="n">
        <x:v>4</x:v>
      </x:c>
      <x:c r="R11" s="18" t="n">
        <x:v>30</x:v>
      </x:c>
      <x:c r="S11" s="13" t="str">
        <x:v>Project-discussed target</x:v>
      </x:c>
      <x:c r="T11" s="13" t="str">
        <x:v>May 2025 CAP; Apr 2026 CAP</x:v>
      </x:c>
      <x:c r="U11" s="13" t="str">
        <x:v>Hα regions are present, but less dramatic than M33/M101; benefits from longer integration.</x:v>
      </x:c>
      <x:c r="V11" s="13" t="str">
        <x:v>https://github.com/mattiaverga/openngc</x:v>
      </x:c>
      <x:c r="W11" s="13" t="str">
        <x:v>https://github.com/mattiaverga/openngc</x:v>
      </x:c>
    </x:row>
    <x:row r="12">
      <x:c r="A12" s="13" t="str">
        <x:v>M64 / NGC 4826</x:v>
      </x:c>
      <x:c r="B12" s="13" t="str">
        <x:v>Black Eye Galaxy</x:v>
      </x:c>
      <x:c r="C12" s="13" t="str">
        <x:v>12:56:43.64</x:v>
      </x:c>
      <x:c r="D12" s="13" t="str">
        <x:v>+21:40:58.7</x:v>
      </x:c>
      <x:c r="E12" s="13" t="str">
        <x:v>Coma Berenices</x:v>
      </x:c>
      <x:c r="F12" s="13" t="str">
        <x:v>Both hemispheres</x:v>
      </x:c>
      <x:c r="G12" s="13" t="str">
        <x:v>10.52 × 5.33</x:v>
      </x:c>
      <x:c r="H12" s="16" t="n">
        <x:v>10.52</x:v>
      </x:c>
      <x:c r="I12" s="16" t="n">
        <x:v>5.33</x:v>
      </x:c>
      <x:c r="J12" s="16" t="n">
        <x:v>8.52</x:v>
      </x:c>
      <x:c r="K12" s="13" t="str">
        <x:v>V</x:v>
      </x:c>
      <x:c r="L12" s="13" t="str">
        <x:v>Intermediate barred spiral (SABa)</x:v>
      </x:c>
      <x:c r="M12" s="13" t="str">
        <x:v>Weak</x:v>
      </x:c>
      <x:c r="N12" s="13" t="str">
        <x:v>Yes</x:v>
      </x:c>
      <x:c r="O12" s="13" t="str">
        <x:v>No</x:v>
      </x:c>
      <x:c r="P12" s="13" t="str">
        <x:v>Yes</x:v>
      </x:c>
      <x:c r="Q12" s="18" t="n">
        <x:v>3</x:v>
      </x:c>
      <x:c r="R12" s="18" t="n">
        <x:v>80</x:v>
      </x:c>
      <x:c r="S12" s="13" t="str">
        <x:v>Project-discussed target</x:v>
      </x:c>
      <x:c r="T12" s="13" t="str">
        <x:v>Apr 2025 CAP; Apr 2026 CAP</x:v>
      </x:c>
      <x:c r="U12" s="13" t="str">
        <x:v>Some star formation, but the dust feature is the main visual attraction rather than obvious Hα knots.</x:v>
      </x:c>
      <x:c r="V12" s="13" t="str">
        <x:v>https://github.com/mattiaverga/openngc</x:v>
      </x:c>
      <x:c r="W12" s="13" t="str">
        <x:v>https://github.com/mattiaverga/openngc</x:v>
      </x:c>
    </x:row>
    <x:row r="13">
      <x:c r="A13" s="13" t="str">
        <x:v>M65 / NGC 3623</x:v>
      </x:c>
      <x:c r="B13" s="13" t="str">
        <x:v>—</x:v>
      </x:c>
      <x:c r="C13" s="13" t="str">
        <x:v>11:18:55.92</x:v>
      </x:c>
      <x:c r="D13" s="13" t="str">
        <x:v>+13:05:32.5</x:v>
      </x:c>
      <x:c r="E13" s="13" t="str">
        <x:v>Leo</x:v>
      </x:c>
      <x:c r="F13" s="13" t="str">
        <x:v>Both hemispheres</x:v>
      </x:c>
      <x:c r="G13" s="13" t="str">
        <x:v>7.64 × 1.97</x:v>
      </x:c>
      <x:c r="H13" s="16" t="n">
        <x:v>7.64</x:v>
      </x:c>
      <x:c r="I13" s="16" t="n">
        <x:v>1.97</x:v>
      </x:c>
      <x:c r="J13" s="16" t="n">
        <x:v>9.32</x:v>
      </x:c>
      <x:c r="K13" s="13" t="str">
        <x:v>V</x:v>
      </x:c>
      <x:c r="L13" s="13" t="str">
        <x:v>Spiral (Sa)</x:v>
      </x:c>
      <x:c r="M13" s="13" t="str">
        <x:v>Weak</x:v>
      </x:c>
      <x:c r="N13" s="13" t="str">
        <x:v>Yes</x:v>
      </x:c>
      <x:c r="O13" s="13" t="str">
        <x:v>No</x:v>
      </x:c>
      <x:c r="P13" s="13" t="str">
        <x:v>Yes</x:v>
      </x:c>
      <x:c r="Q13" s="18" t="n">
        <x:v>2</x:v>
      </x:c>
      <x:c r="R13" s="18" t="n">
        <x:v>87</x:v>
      </x:c>
      <x:c r="S13" s="13" t="str">
        <x:v>Project-discussed target</x:v>
      </x:c>
      <x:c r="T13" s="13" t="str">
        <x:v>Mar 2025 DART; Mar 2026 CAP</x:v>
      </x:c>
      <x:c r="U13" s="13" t="str">
        <x:v>Part of the Leo Triplet, but lower Hα payoff than M66.</x:v>
      </x:c>
      <x:c r="V13" s="13" t="str">
        <x:v>https://github.com/mattiaverga/openngc</x:v>
      </x:c>
      <x:c r="W13" s="13" t="str">
        <x:v>https://github.com/mattiaverga/openngc</x:v>
      </x:c>
    </x:row>
    <x:row r="14">
      <x:c r="A14" s="13" t="str">
        <x:v>M66 / NGC 3627</x:v>
      </x:c>
      <x:c r="B14" s="13" t="str">
        <x:v>—</x:v>
      </x:c>
      <x:c r="C14" s="13" t="str">
        <x:v>11:20:14.96</x:v>
      </x:c>
      <x:c r="D14" s="13" t="str">
        <x:v>+12:59:29.5</x:v>
      </x:c>
      <x:c r="E14" s="13" t="str">
        <x:v>Leo</x:v>
      </x:c>
      <x:c r="F14" s="13" t="str">
        <x:v>Both hemispheres</x:v>
      </x:c>
      <x:c r="G14" s="13" t="str">
        <x:v>10.28 × 4.61</x:v>
      </x:c>
      <x:c r="H14" s="16" t="n">
        <x:v>10.28</x:v>
      </x:c>
      <x:c r="I14" s="16" t="n">
        <x:v>4.61</x:v>
      </x:c>
      <x:c r="J14" s="16" t="n">
        <x:v>8.92</x:v>
      </x:c>
      <x:c r="K14" s="13" t="str">
        <x:v>V</x:v>
      </x:c>
      <x:c r="L14" s="13" t="str">
        <x:v>Spiral (Sb)</x:v>
      </x:c>
      <x:c r="M14" s="13" t="str">
        <x:v>Yes</x:v>
      </x:c>
      <x:c r="N14" s="13" t="str">
        <x:v>Yes</x:v>
      </x:c>
      <x:c r="O14" s="13" t="str">
        <x:v>No</x:v>
      </x:c>
      <x:c r="P14" s="13" t="str">
        <x:v>Yes</x:v>
      </x:c>
      <x:c r="Q14" s="18" t="n">
        <x:v>4</x:v>
      </x:c>
      <x:c r="R14" s="18" t="n">
        <x:v>66</x:v>
      </x:c>
      <x:c r="S14" s="13" t="str">
        <x:v>Project-discussed target</x:v>
      </x:c>
      <x:c r="T14" s="13" t="str">
        <x:v>Mar 2025 DART; Mar 2026 CAP</x:v>
      </x:c>
      <x:c r="U14" s="13" t="str">
        <x:v>Best Leo Triplet member for Hα; active star-forming spiral.</x:v>
      </x:c>
      <x:c r="V14" s="13" t="str">
        <x:v>https://github.com/mattiaverga/openngc</x:v>
      </x:c>
      <x:c r="W14" s="13" t="str">
        <x:v>https://www.eso.org/public/images/eso2110a/</x:v>
      </x:c>
    </x:row>
    <x:row r="15">
      <x:c r="A15" s="13" t="str">
        <x:v>M81 / NGC 3031</x:v>
      </x:c>
      <x:c r="B15" s="13" t="str">
        <x:v>Bode’s Galaxy</x:v>
      </x:c>
      <x:c r="C15" s="13" t="str">
        <x:v>09:55:33.17</x:v>
      </x:c>
      <x:c r="D15" s="13" t="str">
        <x:v>+69:03:55.1</x:v>
      </x:c>
      <x:c r="E15" s="13" t="str">
        <x:v>Ursa Major</x:v>
      </x:c>
      <x:c r="F15" s="13" t="str">
        <x:v>North-favored</x:v>
      </x:c>
      <x:c r="G15" s="13" t="str">
        <x:v>21.63 × 11.25</x:v>
      </x:c>
      <x:c r="H15" s="16" t="n">
        <x:v>21.63</x:v>
      </x:c>
      <x:c r="I15" s="16" t="n">
        <x:v>11.25</x:v>
      </x:c>
      <x:c r="J15" s="16" t="n">
        <x:v>6.92</x:v>
      </x:c>
      <x:c r="K15" s="13" t="str">
        <x:v>V</x:v>
      </x:c>
      <x:c r="L15" s="13" t="str">
        <x:v>Spiral (Sab)</x:v>
      </x:c>
      <x:c r="M15" s="13" t="str">
        <x:v>Yes</x:v>
      </x:c>
      <x:c r="N15" s="13" t="str">
        <x:v>Yes</x:v>
      </x:c>
      <x:c r="O15" s="13" t="str">
        <x:v>No</x:v>
      </x:c>
      <x:c r="P15" s="13" t="str">
        <x:v>Yes</x:v>
      </x:c>
      <x:c r="Q15" s="18" t="n">
        <x:v>4</x:v>
      </x:c>
      <x:c r="R15" s="18" t="n">
        <x:v>8</x:v>
      </x:c>
      <x:c r="S15" s="13" t="str">
        <x:v>Project-discussed target</x:v>
      </x:c>
      <x:c r="T15" s="13" t="str">
        <x:v>Apr 2025 CAP; Feb 2026 CAP</x:v>
      </x:c>
      <x:c r="U15" s="13" t="str">
        <x:v>Real H II regions, but generally subtler than M33/M101.</x:v>
      </x:c>
      <x:c r="V15" s="13" t="str">
        <x:v>https://github.com/mattiaverga/openngc</x:v>
      </x:c>
      <x:c r="W15" s="13" t="str">
        <x:v>https://arxiv.org/abs/astro-ph/0306302</x:v>
      </x:c>
    </x:row>
    <x:row r="16">
      <x:c r="A16" s="13" t="str">
        <x:v>M82 / NGC 3034</x:v>
      </x:c>
      <x:c r="B16" s="13" t="str">
        <x:v>Cigar Galaxy</x:v>
      </x:c>
      <x:c r="C16" s="13" t="str">
        <x:v>09:55:52.73</x:v>
      </x:c>
      <x:c r="D16" s="13" t="str">
        <x:v>+69:40:45.8</x:v>
      </x:c>
      <x:c r="E16" s="13" t="str">
        <x:v>Ursa Major</x:v>
      </x:c>
      <x:c r="F16" s="13" t="str">
        <x:v>North-favored</x:v>
      </x:c>
      <x:c r="G16" s="13" t="str">
        <x:v>10.99 × 5.11</x:v>
      </x:c>
      <x:c r="H16" s="16" t="n">
        <x:v>10.99</x:v>
      </x:c>
      <x:c r="I16" s="16" t="n">
        <x:v>5.11</x:v>
      </x:c>
      <x:c r="J16" s="16" t="n">
        <x:v>8.3</x:v>
      </x:c>
      <x:c r="K16" s="13" t="str">
        <x:v>V</x:v>
      </x:c>
      <x:c r="L16" s="13" t="str">
        <x:v>Uncertain / peculiar spiral (S?)</x:v>
      </x:c>
      <x:c r="M16" s="13" t="str">
        <x:v>Yes</x:v>
      </x:c>
      <x:c r="N16" s="13" t="str">
        <x:v>Yes</x:v>
      </x:c>
      <x:c r="O16" s="13" t="str">
        <x:v>Weak</x:v>
      </x:c>
      <x:c r="P16" s="13" t="str">
        <x:v>Yes</x:v>
      </x:c>
      <x:c r="Q16" s="18" t="n">
        <x:v>5</x:v>
      </x:c>
      <x:c r="R16" s="18" t="n">
        <x:v>83</x:v>
      </x:c>
      <x:c r="S16" s="13" t="str">
        <x:v>Project-discussed target</x:v>
      </x:c>
      <x:c r="T16" s="13" t="str">
        <x:v>Apr 2025 CAP; Feb 2026 CAP</x:v>
      </x:c>
      <x:c r="U16" s="13" t="str">
        <x:v>Special case: starburst-driven Hα filaments/plumes rather than classic spiral-arm H II knots.</x:v>
      </x:c>
      <x:c r="V16" s="13" t="str">
        <x:v>https://github.com/mattiaverga/openngc</x:v>
      </x:c>
      <x:c r="W16" s="13" t="str">
        <x:v>https://ui.adsabs.harvard.edu/abs/1991MNRAS.252P..12S/abstract</x:v>
      </x:c>
    </x:row>
    <x:row r="17">
      <x:c r="A17" s="13" t="str">
        <x:v>M83 / NGC 5236</x:v>
      </x:c>
      <x:c r="B17" s="13" t="str">
        <x:v>Southern Pinwheel Galaxy</x:v>
      </x:c>
      <x:c r="C17" s="13" t="str">
        <x:v>13:37:00.95</x:v>
      </x:c>
      <x:c r="D17" s="13" t="str">
        <x:v>-29:51:55.5</x:v>
      </x:c>
      <x:c r="E17" s="13" t="str">
        <x:v>Hydra</x:v>
      </x:c>
      <x:c r="F17" s="13" t="str">
        <x:v>Both hemispheres</x:v>
      </x:c>
      <x:c r="G17" s="13" t="str">
        <x:v>13.61 × 13.21</x:v>
      </x:c>
      <x:c r="H17" s="16" t="n">
        <x:v>13.61</x:v>
      </x:c>
      <x:c r="I17" s="16" t="n">
        <x:v>13.21</x:v>
      </x:c>
      <x:c r="J17" s="16" t="n">
        <x:v>7.21</x:v>
      </x:c>
      <x:c r="K17" s="13" t="str">
        <x:v>V</x:v>
      </x:c>
      <x:c r="L17" s="13" t="str">
        <x:v>Spiral (Sc)</x:v>
      </x:c>
      <x:c r="M17" s="13" t="str">
        <x:v>Yes</x:v>
      </x:c>
      <x:c r="N17" s="13" t="str">
        <x:v>Yes</x:v>
      </x:c>
      <x:c r="O17" s="13" t="str">
        <x:v>Weak</x:v>
      </x:c>
      <x:c r="P17" s="13" t="str">
        <x:v>Low/southern</x:v>
      </x:c>
      <x:c r="Q17" s="18" t="n">
        <x:v>2</x:v>
      </x:c>
      <x:c r="R17" s="18" t="n">
        <x:v>27</x:v>
      </x:c>
      <x:c r="S17" s="13" t="str">
        <x:v>Project-discussed target</x:v>
      </x:c>
      <x:c r="T17" s="13" t="str">
        <x:v>May 2025 CAP; Apr 2026 CAP</x:v>
      </x:c>
      <x:c r="U17" s="13" t="str">
        <x:v>Astrophysically excellent Hα galaxy, but low from Hunterdon County/NJ.</x:v>
      </x:c>
      <x:c r="V17" s="13" t="str">
        <x:v>https://github.com/mattiaverga/openngc</x:v>
      </x:c>
      <x:c r="W17" s="13" t="str">
        <x:v>https://science.nasa.gov/mission/hubble/science/explore-the-night-sky/hubble-messier-catalog/messier-83/</x:v>
      </x:c>
    </x:row>
    <x:row r="18">
      <x:c r="A18" s="13" t="str">
        <x:v>M84 / NGC 4374</x:v>
      </x:c>
      <x:c r="B18" s="13" t="str">
        <x:v>—</x:v>
      </x:c>
      <x:c r="C18" s="13" t="str">
        <x:v>12:25:03.74</x:v>
      </x:c>
      <x:c r="D18" s="13" t="str">
        <x:v>+12:53:13.1</x:v>
      </x:c>
      <x:c r="E18" s="13" t="str">
        <x:v>Virgo</x:v>
      </x:c>
      <x:c r="F18" s="13" t="str">
        <x:v>Both hemispheres</x:v>
      </x:c>
      <x:c r="G18" s="13" t="str">
        <x:v>7.41 × 6.44</x:v>
      </x:c>
      <x:c r="H18" s="16" t="n">
        <x:v>7.41</x:v>
      </x:c>
      <x:c r="I18" s="16" t="n">
        <x:v>6.44</x:v>
      </x:c>
      <x:c r="J18" s="16" t="n">
        <x:v>9.79</x:v>
      </x:c>
      <x:c r="K18" s="13" t="str">
        <x:v>V</x:v>
      </x:c>
      <x:c r="L18" s="13" t="str">
        <x:v>Elliptical (E)</x:v>
      </x:c>
      <x:c r="M18" s="13" t="str">
        <x:v>No</x:v>
      </x:c>
      <x:c r="N18" s="13" t="str">
        <x:v>No</x:v>
      </x:c>
      <x:c r="O18" s="13" t="str">
        <x:v>No</x:v>
      </x:c>
      <x:c r="P18" s="13" t="str">
        <x:v>Yes</x:v>
      </x:c>
      <x:c r="Q18" s="18" t="n">
        <x:v>1</x:v>
      </x:c>
      <x:c r="R18" s="18" t="n">
        <x:v>47</x:v>
      </x:c>
      <x:c r="S18" s="13" t="str">
        <x:v>Project-discussed target</x:v>
      </x:c>
      <x:c r="T18" s="13" t="str">
        <x:v>Mar 2025 DART; Mar 2026 CAP</x:v>
      </x:c>
      <x:c r="U18" s="13" t="str">
        <x:v>Early-type Virgo galaxy; useful in Markarian’s Chain framing, not as Hα target.</x:v>
      </x:c>
      <x:c r="V18" s="13" t="str">
        <x:v>https://github.com/mattiaverga/openngc</x:v>
      </x:c>
      <x:c r="W18" s="13" t="str">
        <x:v>https://github.com/mattiaverga/openngc</x:v>
      </x:c>
    </x:row>
    <x:row r="19">
      <x:c r="A19" s="13" t="str">
        <x:v>M85 / NGC 4382</x:v>
      </x:c>
      <x:c r="B19" s="13" t="str">
        <x:v>—</x:v>
      </x:c>
      <x:c r="C19" s="13" t="str">
        <x:v>12:25:24.11</x:v>
      </x:c>
      <x:c r="D19" s="13" t="str">
        <x:v>+18:11:29.4</x:v>
      </x:c>
      <x:c r="E19" s="13" t="str">
        <x:v>Coma Berenices</x:v>
      </x:c>
      <x:c r="F19" s="13" t="str">
        <x:v>Both hemispheres</x:v>
      </x:c>
      <x:c r="G19" s="13" t="str">
        <x:v>6.95 × 5.35</x:v>
      </x:c>
      <x:c r="H19" s="16" t="n">
        <x:v>6.95</x:v>
      </x:c>
      <x:c r="I19" s="16" t="n">
        <x:v>5.35</x:v>
      </x:c>
      <x:c r="J19" s="16" t="n">
        <x:v>9.05</x:v>
      </x:c>
      <x:c r="K19" s="13" t="str">
        <x:v>V</x:v>
      </x:c>
      <x:c r="L19" s="13" t="str">
        <x:v>Lenticular / early spiral (S0-a)</x:v>
      </x:c>
      <x:c r="M19" s="13" t="str">
        <x:v>No</x:v>
      </x:c>
      <x:c r="N19" s="13" t="str">
        <x:v>Weak</x:v>
      </x:c>
      <x:c r="O19" s="13" t="str">
        <x:v>No</x:v>
      </x:c>
      <x:c r="P19" s="13" t="str">
        <x:v>Yes</x:v>
      </x:c>
      <x:c r="Q19" s="18" t="n">
        <x:v>1</x:v>
      </x:c>
      <x:c r="R19" s="18" t="n">
        <x:v>59</x:v>
      </x:c>
      <x:c r="S19" s="13" t="str">
        <x:v>Project-discussed target</x:v>
      </x:c>
      <x:c r="T19" s="13" t="str">
        <x:v>Mar 2026 CAP</x:v>
      </x:c>
      <x:c r="U19" s="13" t="str">
        <x:v>Lenticular/early-type system; not a strong star-forming Hα target.</x:v>
      </x:c>
      <x:c r="V19" s="13" t="str">
        <x:v>https://github.com/mattiaverga/openngc</x:v>
      </x:c>
      <x:c r="W19" s="13" t="str">
        <x:v>https://github.com/mattiaverga/openngc</x:v>
      </x:c>
    </x:row>
    <x:row r="20">
      <x:c r="A20" s="13" t="str">
        <x:v>M86 / NGC 4406</x:v>
      </x:c>
      <x:c r="B20" s="13" t="str">
        <x:v>—</x:v>
      </x:c>
      <x:c r="C20" s="13" t="str">
        <x:v>12:26:11.74</x:v>
      </x:c>
      <x:c r="D20" s="13" t="str">
        <x:v>+12:56:46.4</x:v>
      </x:c>
      <x:c r="E20" s="13" t="str">
        <x:v>Virgo</x:v>
      </x:c>
      <x:c r="F20" s="13" t="str">
        <x:v>Both hemispheres</x:v>
      </x:c>
      <x:c r="G20" s="13" t="str">
        <x:v>11.53 × 8.43</x:v>
      </x:c>
      <x:c r="H20" s="16" t="n">
        <x:v>11.53</x:v>
      </x:c>
      <x:c r="I20" s="16" t="n">
        <x:v>8.43</x:v>
      </x:c>
      <x:c r="J20" s="16" t="n">
        <x:v>8.86</x:v>
      </x:c>
      <x:c r="K20" s="13" t="str">
        <x:v>V</x:v>
      </x:c>
      <x:c r="L20" s="13" t="str">
        <x:v>Elliptical (E)</x:v>
      </x:c>
      <x:c r="M20" s="13" t="str">
        <x:v>No</x:v>
      </x:c>
      <x:c r="N20" s="13" t="str">
        <x:v>No</x:v>
      </x:c>
      <x:c r="O20" s="13" t="str">
        <x:v>No</x:v>
      </x:c>
      <x:c r="P20" s="13" t="str">
        <x:v>Yes</x:v>
      </x:c>
      <x:c r="Q20" s="18" t="n">
        <x:v>1</x:v>
      </x:c>
      <x:c r="R20" s="18" t="n">
        <x:v>14</x:v>
      </x:c>
      <x:c r="S20" s="13" t="str">
        <x:v>Project-discussed target</x:v>
      </x:c>
      <x:c r="T20" s="13" t="str">
        <x:v>Mar 2025 DART; Mar 2026 CAP</x:v>
      </x:c>
      <x:c r="U20" s="13" t="str">
        <x:v>Early-type Virgo galaxy; useful in Markarian’s Chain framing, not as Hα target.</x:v>
      </x:c>
      <x:c r="V20" s="13" t="str">
        <x:v>https://github.com/mattiaverga/openngc</x:v>
      </x:c>
      <x:c r="W20" s="13" t="str">
        <x:v>https://github.com/mattiaverga/openngc</x:v>
      </x:c>
    </x:row>
    <x:row r="21">
      <x:c r="A21" s="13" t="str">
        <x:v>M87 / NGC 4486</x:v>
      </x:c>
      <x:c r="B21" s="13" t="str">
        <x:v>Virgo A</x:v>
      </x:c>
      <x:c r="C21" s="13" t="str">
        <x:v>12:30:49.42</x:v>
      </x:c>
      <x:c r="D21" s="13" t="str">
        <x:v>+12:23:28.0</x:v>
      </x:c>
      <x:c r="E21" s="13" t="str">
        <x:v>Virgo</x:v>
      </x:c>
      <x:c r="F21" s="13" t="str">
        <x:v>Both hemispheres</x:v>
      </x:c>
      <x:c r="G21" s="13" t="str">
        <x:v>7.11 × 6.67</x:v>
      </x:c>
      <x:c r="H21" s="16" t="n">
        <x:v>7.11</x:v>
      </x:c>
      <x:c r="I21" s="16" t="n">
        <x:v>6.67</x:v>
      </x:c>
      <x:c r="J21" s="16" t="n">
        <x:v>9</x:v>
      </x:c>
      <x:c r="K21" s="13" t="str">
        <x:v>V</x:v>
      </x:c>
      <x:c r="L21" s="13" t="str">
        <x:v>Elliptical (E)</x:v>
      </x:c>
      <x:c r="M21" s="13" t="str">
        <x:v>No</x:v>
      </x:c>
      <x:c r="N21" s="13" t="str">
        <x:v>No</x:v>
      </x:c>
      <x:c r="O21" s="13" t="str">
        <x:v>No</x:v>
      </x:c>
      <x:c r="P21" s="13" t="str">
        <x:v>Yes</x:v>
      </x:c>
      <x:c r="Q21" s="18" t="n">
        <x:v>1</x:v>
      </x:c>
      <x:c r="R21" s="18" t="n">
        <x:v>21</x:v>
      </x:c>
      <x:c r="S21" s="13" t="str">
        <x:v>Project-discussed target</x:v>
      </x:c>
      <x:c r="T21" s="13" t="str">
        <x:v>Mar 2026 CAP</x:v>
      </x:c>
      <x:c r="U21" s="13" t="str">
        <x:v>Famous AGN/jet galaxy, but not a visible H II-region/Hα-knot target.</x:v>
      </x:c>
      <x:c r="V21" s="13" t="str">
        <x:v>https://github.com/mattiaverga/openngc</x:v>
      </x:c>
      <x:c r="W21" s="13" t="str">
        <x:v>https://github.com/mattiaverga/openngc</x:v>
      </x:c>
    </x:row>
    <x:row r="22">
      <x:c r="A22" s="13" t="str">
        <x:v>M88 / NGC 4501</x:v>
      </x:c>
      <x:c r="B22" s="13" t="str">
        <x:v>—</x:v>
      </x:c>
      <x:c r="C22" s="13" t="str">
        <x:v>12:31:59.16</x:v>
      </x:c>
      <x:c r="D22" s="13" t="str">
        <x:v>+14:25:13.4</x:v>
      </x:c>
      <x:c r="E22" s="13" t="str">
        <x:v>Coma Berenices</x:v>
      </x:c>
      <x:c r="F22" s="13" t="str">
        <x:v>Both hemispheres</x:v>
      </x:c>
      <x:c r="G22" s="13" t="str">
        <x:v>8.65 × 4.38</x:v>
      </x:c>
      <x:c r="H22" s="16" t="n">
        <x:v>8.65</x:v>
      </x:c>
      <x:c r="I22" s="16" t="n">
        <x:v>4.38</x:v>
      </x:c>
      <x:c r="J22" s="16" t="n">
        <x:v>10.33</x:v>
      </x:c>
      <x:c r="K22" s="13" t="str">
        <x:v>V</x:v>
      </x:c>
      <x:c r="L22" s="13" t="str">
        <x:v>Spiral (Sb)</x:v>
      </x:c>
      <x:c r="M22" s="13" t="str">
        <x:v>Weak</x:v>
      </x:c>
      <x:c r="N22" s="13" t="str">
        <x:v>Weak</x:v>
      </x:c>
      <x:c r="O22" s="13" t="str">
        <x:v>No</x:v>
      </x:c>
      <x:c r="P22" s="13" t="str">
        <x:v>Yes</x:v>
      </x:c>
      <x:c r="Q22" s="18" t="n">
        <x:v>3</x:v>
      </x:c>
      <x:c r="R22" s="18" t="str"/>
      <x:c r="S22" s="13" t="str">
        <x:v>Project-discussed target</x:v>
      </x:c>
      <x:c r="T22" s="13" t="str">
        <x:v>Mar 2026 CAP</x:v>
      </x:c>
      <x:c r="U22" s="13" t="str">
        <x:v>Spiral arms have star formation, but Virgo distance makes Hα detail small.</x:v>
      </x:c>
      <x:c r="V22" s="13" t="str">
        <x:v>https://github.com/mattiaverga/openngc</x:v>
      </x:c>
      <x:c r="W22" s="13" t="str">
        <x:v>https://github.com/mattiaverga/openngc</x:v>
      </x:c>
    </x:row>
    <x:row r="23">
      <x:c r="A23" s="13" t="str">
        <x:v>M89 / NGC 4552</x:v>
      </x:c>
      <x:c r="B23" s="13" t="str">
        <x:v>—</x:v>
      </x:c>
      <x:c r="C23" s="13" t="str">
        <x:v>12:35:39.81</x:v>
      </x:c>
      <x:c r="D23" s="13" t="str">
        <x:v>+12:33:22.8</x:v>
      </x:c>
      <x:c r="E23" s="13" t="str">
        <x:v>Virgo</x:v>
      </x:c>
      <x:c r="F23" s="13" t="str">
        <x:v>Both hemispheres</x:v>
      </x:c>
      <x:c r="G23" s="13" t="str">
        <x:v>8.13 × 8.00</x:v>
      </x:c>
      <x:c r="H23" s="16" t="n">
        <x:v>8.13</x:v>
      </x:c>
      <x:c r="I23" s="16" t="n">
        <x:v>8</x:v>
      </x:c>
      <x:c r="J23" s="16" t="n">
        <x:v>10.08</x:v>
      </x:c>
      <x:c r="K23" s="13" t="str">
        <x:v>V</x:v>
      </x:c>
      <x:c r="L23" s="13" t="str">
        <x:v>Elliptical (E)</x:v>
      </x:c>
      <x:c r="M23" s="13" t="str">
        <x:v>No</x:v>
      </x:c>
      <x:c r="N23" s="13" t="str">
        <x:v>No</x:v>
      </x:c>
      <x:c r="O23" s="13" t="str">
        <x:v>No</x:v>
      </x:c>
      <x:c r="P23" s="13" t="str">
        <x:v>Yes</x:v>
      </x:c>
      <x:c r="Q23" s="18" t="n">
        <x:v>1</x:v>
      </x:c>
      <x:c r="R23" s="18" t="str"/>
      <x:c r="S23" s="13" t="str">
        <x:v>Project-discussed target</x:v>
      </x:c>
      <x:c r="T23" s="13" t="str">
        <x:v>Mar 2026 CAP</x:v>
      </x:c>
      <x:c r="U23" s="13" t="str">
        <x:v>Elliptical Virgo galaxy; not a star-forming Hα target.</x:v>
      </x:c>
      <x:c r="V23" s="13" t="str">
        <x:v>https://github.com/mattiaverga/openngc</x:v>
      </x:c>
      <x:c r="W23" s="13" t="str">
        <x:v>https://github.com/mattiaverga/openngc</x:v>
      </x:c>
    </x:row>
    <x:row r="24">
      <x:c r="A24" s="13" t="str">
        <x:v>M90 / NGC 4569</x:v>
      </x:c>
      <x:c r="B24" s="13" t="str">
        <x:v>—</x:v>
      </x:c>
      <x:c r="C24" s="13" t="str">
        <x:v>12:36:49.79</x:v>
      </x:c>
      <x:c r="D24" s="13" t="str">
        <x:v>+13:09:46.6</x:v>
      </x:c>
      <x:c r="E24" s="13" t="str">
        <x:v>Virgo</x:v>
      </x:c>
      <x:c r="F24" s="13" t="str">
        <x:v>Both hemispheres</x:v>
      </x:c>
      <x:c r="G24" s="13" t="str">
        <x:v>9.12 × 3.82</x:v>
      </x:c>
      <x:c r="H24" s="16" t="n">
        <x:v>9.12</x:v>
      </x:c>
      <x:c r="I24" s="16" t="n">
        <x:v>3.82</x:v>
      </x:c>
      <x:c r="J24" s="16" t="n">
        <x:v>9.54</x:v>
      </x:c>
      <x:c r="K24" s="13" t="str">
        <x:v>V</x:v>
      </x:c>
      <x:c r="L24" s="13" t="str">
        <x:v>Spiral (Sab)</x:v>
      </x:c>
      <x:c r="M24" s="13" t="str">
        <x:v>Weak</x:v>
      </x:c>
      <x:c r="N24" s="13" t="str">
        <x:v>Weak</x:v>
      </x:c>
      <x:c r="O24" s="13" t="str">
        <x:v>No</x:v>
      </x:c>
      <x:c r="P24" s="13" t="str">
        <x:v>Yes</x:v>
      </x:c>
      <x:c r="Q24" s="18" t="n">
        <x:v>3</x:v>
      </x:c>
      <x:c r="R24" s="18" t="str"/>
      <x:c r="S24" s="13" t="str">
        <x:v>Project-discussed target</x:v>
      </x:c>
      <x:c r="T24" s="13" t="str">
        <x:v>Mar 2026 CAP</x:v>
      </x:c>
      <x:c r="U24" s="13" t="str">
        <x:v>Has Hα nebulae in the inner disk, but cluster gas stripping truncates star formation.</x:v>
      </x:c>
      <x:c r="V24" s="13" t="str">
        <x:v>https://github.com/mattiaverga/openngc</x:v>
      </x:c>
      <x:c r="W24" s="13" t="str">
        <x:v>https://science.nasa.gov/missions/hubble/hubble-captures-a-new-view-of-galaxy-m90/</x:v>
      </x:c>
    </x:row>
    <x:row r="25">
      <x:c r="A25" s="13" t="str">
        <x:v>M91 / NGC 4548</x:v>
      </x:c>
      <x:c r="B25" s="13" t="str">
        <x:v>—</x:v>
      </x:c>
      <x:c r="C25" s="13" t="str">
        <x:v>12:35:26.45</x:v>
      </x:c>
      <x:c r="D25" s="13" t="str">
        <x:v>+14:29:46.8</x:v>
      </x:c>
      <x:c r="E25" s="13" t="str">
        <x:v>Coma Berenices</x:v>
      </x:c>
      <x:c r="F25" s="13" t="str">
        <x:v>Both hemispheres</x:v>
      </x:c>
      <x:c r="G25" s="13" t="str">
        <x:v>5.55 × 4.52</x:v>
      </x:c>
      <x:c r="H25" s="16" t="n">
        <x:v>5.55</x:v>
      </x:c>
      <x:c r="I25" s="16" t="n">
        <x:v>4.52</x:v>
      </x:c>
      <x:c r="J25" s="16" t="n">
        <x:v>10.96</x:v>
      </x:c>
      <x:c r="K25" s="13" t="str">
        <x:v>V</x:v>
      </x:c>
      <x:c r="L25" s="13" t="str">
        <x:v>Spiral (Sb)</x:v>
      </x:c>
      <x:c r="M25" s="13" t="str">
        <x:v>Weak</x:v>
      </x:c>
      <x:c r="N25" s="13" t="str">
        <x:v>Weak</x:v>
      </x:c>
      <x:c r="O25" s="13" t="str">
        <x:v>No</x:v>
      </x:c>
      <x:c r="P25" s="13" t="str">
        <x:v>Yes</x:v>
      </x:c>
      <x:c r="Q25" s="18" t="n">
        <x:v>2</x:v>
      </x:c>
      <x:c r="R25" s="18" t="str"/>
      <x:c r="S25" s="13" t="str">
        <x:v>Project-discussed target</x:v>
      </x:c>
      <x:c r="T25" s="13" t="str">
        <x:v>Mar 2026 CAP</x:v>
      </x:c>
      <x:c r="U25" s="13" t="str">
        <x:v>Barred spiral, but faint/small for Seestar-scale Hα detail.</x:v>
      </x:c>
      <x:c r="V25" s="13" t="str">
        <x:v>https://github.com/mattiaverga/openngc</x:v>
      </x:c>
      <x:c r="W25" s="13" t="str">
        <x:v>https://github.com/mattiaverga/openngc</x:v>
      </x:c>
    </x:row>
    <x:row r="26">
      <x:c r="A26" s="13" t="str">
        <x:v>M94 / NGC 4736</x:v>
      </x:c>
      <x:c r="B26" s="13" t="str">
        <x:v>Croc’s Eye Galaxy</x:v>
      </x:c>
      <x:c r="C26" s="13" t="str">
        <x:v>12:50:53.06</x:v>
      </x:c>
      <x:c r="D26" s="13" t="str">
        <x:v>+41:07:13.6</x:v>
      </x:c>
      <x:c r="E26" s="13" t="str">
        <x:v>Canes Venatici</x:v>
      </x:c>
      <x:c r="F26" s="13" t="str">
        <x:v>Both hemispheres</x:v>
      </x:c>
      <x:c r="G26" s="13" t="str">
        <x:v>7.74 × 6.68</x:v>
      </x:c>
      <x:c r="H26" s="16" t="n">
        <x:v>7.74</x:v>
      </x:c>
      <x:c r="I26" s="16" t="n">
        <x:v>6.68</x:v>
      </x:c>
      <x:c r="J26" s="16" t="n">
        <x:v>8.24</x:v>
      </x:c>
      <x:c r="K26" s="13" t="str">
        <x:v>V</x:v>
      </x:c>
      <x:c r="L26" s="13" t="str">
        <x:v>Intermediate barred spiral (SABa)</x:v>
      </x:c>
      <x:c r="M26" s="13" t="str">
        <x:v>Yes</x:v>
      </x:c>
      <x:c r="N26" s="13" t="str">
        <x:v>Yes</x:v>
      </x:c>
      <x:c r="O26" s="13" t="str">
        <x:v>No</x:v>
      </x:c>
      <x:c r="P26" s="13" t="str">
        <x:v>Yes</x:v>
      </x:c>
      <x:c r="Q26" s="18" t="n">
        <x:v>4</x:v>
      </x:c>
      <x:c r="R26" s="18" t="n">
        <x:v>24</x:v>
      </x:c>
      <x:c r="S26" s="13" t="str">
        <x:v>Project-discussed target</x:v>
      </x:c>
      <x:c r="T26" s="13" t="str">
        <x:v>Apr 2026 CAP</x:v>
      </x:c>
      <x:c r="U26" s="13" t="str">
        <x:v>Strong compact star-forming ring; image scale matters.</x:v>
      </x:c>
      <x:c r="V26" s="13" t="str">
        <x:v>https://github.com/mattiaverga/openngc</x:v>
      </x:c>
      <x:c r="W26" s="13" t="str">
        <x:v>https://ned.ipac.caltech.edu/level5/Rings/Rings9_5.html</x:v>
      </x:c>
    </x:row>
    <x:row r="27">
      <x:c r="A27" s="13" t="str">
        <x:v>M95 / NGC 3351</x:v>
      </x:c>
      <x:c r="B27" s="13" t="str">
        <x:v>—</x:v>
      </x:c>
      <x:c r="C27" s="13" t="str">
        <x:v>10:43:57.70</x:v>
      </x:c>
      <x:c r="D27" s="13" t="str">
        <x:v>+11:42:13.7</x:v>
      </x:c>
      <x:c r="E27" s="13" t="str">
        <x:v>Leo</x:v>
      </x:c>
      <x:c r="F27" s="13" t="str">
        <x:v>Both hemispheres</x:v>
      </x:c>
      <x:c r="G27" s="13" t="str">
        <x:v>7.23 × 4.45</x:v>
      </x:c>
      <x:c r="H27" s="16" t="n">
        <x:v>7.23</x:v>
      </x:c>
      <x:c r="I27" s="16" t="n">
        <x:v>4.45</x:v>
      </x:c>
      <x:c r="J27" s="16" t="n">
        <x:v>9.77</x:v>
      </x:c>
      <x:c r="K27" s="13" t="str">
        <x:v>V</x:v>
      </x:c>
      <x:c r="L27" s="13" t="str">
        <x:v>Spiral (Sb)</x:v>
      </x:c>
      <x:c r="M27" s="13" t="str">
        <x:v>Yes</x:v>
      </x:c>
      <x:c r="N27" s="13" t="str">
        <x:v>Weak</x:v>
      </x:c>
      <x:c r="O27" s="13" t="str">
        <x:v>No</x:v>
      </x:c>
      <x:c r="P27" s="13" t="str">
        <x:v>Yes</x:v>
      </x:c>
      <x:c r="Q27" s="18" t="n">
        <x:v>4</x:v>
      </x:c>
      <x:c r="R27" s="18" t="str"/>
      <x:c r="S27" s="13" t="str">
        <x:v>Project-discussed target</x:v>
      </x:c>
      <x:c r="T27" s="13" t="str">
        <x:v>Mar 2025 DART; Feb 2026 CAP</x:v>
      </x:c>
      <x:c r="U27" s="13" t="str">
        <x:v>Barred/ringed spiral with circumnuclear star-forming ring; good but small.</x:v>
      </x:c>
      <x:c r="V27" s="13" t="str">
        <x:v>https://github.com/mattiaverga/openngc</x:v>
      </x:c>
      <x:c r="W27" s="13" t="str">
        <x:v>https://ned.ipac.caltech.edu/level5/Rings/Rings9_5.html</x:v>
      </x:c>
    </x:row>
    <x:row r="28">
      <x:c r="A28" s="13" t="str">
        <x:v>M96 / NGC 3368</x:v>
      </x:c>
      <x:c r="B28" s="13" t="str">
        <x:v>—</x:v>
      </x:c>
      <x:c r="C28" s="13" t="str">
        <x:v>10:46:45.74</x:v>
      </x:c>
      <x:c r="D28" s="13" t="str">
        <x:v>+11:49:11.8</x:v>
      </x:c>
      <x:c r="E28" s="13" t="str">
        <x:v>Leo</x:v>
      </x:c>
      <x:c r="F28" s="13" t="str">
        <x:v>Both hemispheres</x:v>
      </x:c>
      <x:c r="G28" s="13" t="str">
        <x:v>8.26 × 5.51</x:v>
      </x:c>
      <x:c r="H28" s="16" t="n">
        <x:v>8.26</x:v>
      </x:c>
      <x:c r="I28" s="16" t="n">
        <x:v>5.51</x:v>
      </x:c>
      <x:c r="J28" s="16" t="n">
        <x:v>9.21</x:v>
      </x:c>
      <x:c r="K28" s="13" t="str">
        <x:v>V</x:v>
      </x:c>
      <x:c r="L28" s="13" t="str">
        <x:v>Spiral (Sab)</x:v>
      </x:c>
      <x:c r="M28" s="13" t="str">
        <x:v>Yes</x:v>
      </x:c>
      <x:c r="N28" s="13" t="str">
        <x:v>Weak</x:v>
      </x:c>
      <x:c r="O28" s="13" t="str">
        <x:v>No</x:v>
      </x:c>
      <x:c r="P28" s="13" t="str">
        <x:v>Yes</x:v>
      </x:c>
      <x:c r="Q28" s="18" t="n">
        <x:v>4</x:v>
      </x:c>
      <x:c r="R28" s="18" t="str"/>
      <x:c r="S28" s="13" t="str">
        <x:v>Project-discussed target</x:v>
      </x:c>
      <x:c r="T28" s="13" t="str">
        <x:v>Mar 2025 DART; Mar 2026 CAP</x:v>
      </x:c>
      <x:c r="U28" s="13" t="str">
        <x:v>Visible ionized-hydrogen star-forming regions, but smaller/subtler than the top showpieces.</x:v>
      </x:c>
      <x:c r="V28" s="13" t="str">
        <x:v>https://github.com/mattiaverga/openngc</x:v>
      </x:c>
      <x:c r="W28" s="13" t="str">
        <x:v>https://science.nasa.gov/mission/hubble/science/explore-the-night-sky/hubble-messier-catalog/messier-96/</x:v>
      </x:c>
    </x:row>
    <x:row r="29">
      <x:c r="A29" s="13" t="str">
        <x:v>M98 / NGC 4192</x:v>
      </x:c>
      <x:c r="B29" s="13" t="str">
        <x:v>—</x:v>
      </x:c>
      <x:c r="C29" s="13" t="str">
        <x:v>12:13:48.29</x:v>
      </x:c>
      <x:c r="D29" s="13" t="str">
        <x:v>+14:54:01.2</x:v>
      </x:c>
      <x:c r="E29" s="13" t="str">
        <x:v>Coma Berenices</x:v>
      </x:c>
      <x:c r="F29" s="13" t="str">
        <x:v>Both hemispheres</x:v>
      </x:c>
      <x:c r="G29" s="13" t="str">
        <x:v>11.04 × 2.66</x:v>
      </x:c>
      <x:c r="H29" s="16" t="n">
        <x:v>11.04</x:v>
      </x:c>
      <x:c r="I29" s="16" t="n">
        <x:v>2.66</x:v>
      </x:c>
      <x:c r="J29" s="16" t="n">
        <x:v>10.84</x:v>
      </x:c>
      <x:c r="K29" s="13" t="str">
        <x:v>V</x:v>
      </x:c>
      <x:c r="L29" s="13" t="str">
        <x:v>Intermediate barred spiral (SABb)</x:v>
      </x:c>
      <x:c r="M29" s="13" t="str">
        <x:v>Weak</x:v>
      </x:c>
      <x:c r="N29" s="13" t="str">
        <x:v>Yes</x:v>
      </x:c>
      <x:c r="O29" s="13" t="str">
        <x:v>No</x:v>
      </x:c>
      <x:c r="P29" s="13" t="str">
        <x:v>Yes</x:v>
      </x:c>
      <x:c r="Q29" s="18" t="n">
        <x:v>3</x:v>
      </x:c>
      <x:c r="R29" s="18" t="n">
        <x:v>95</x:v>
      </x:c>
      <x:c r="S29" s="13" t="str">
        <x:v>Project-discussed target</x:v>
      </x:c>
      <x:c r="T29" s="13" t="str">
        <x:v>Mar 2026 CAP</x:v>
      </x:c>
      <x:c r="U29" s="13" t="str">
        <x:v>Inclined Virgo spiral; Hα is possible but small and lower contrast.</x:v>
      </x:c>
      <x:c r="V29" s="13" t="str">
        <x:v>https://github.com/mattiaverga/openngc</x:v>
      </x:c>
      <x:c r="W29" s="13" t="str">
        <x:v>https://github.com/mattiaverga/openngc</x:v>
      </x:c>
    </x:row>
    <x:row r="30">
      <x:c r="A30" s="13" t="str">
        <x:v>M99 / NGC 4254</x:v>
      </x:c>
      <x:c r="B30" s="13" t="str">
        <x:v>St. Catherine’s Wheel Galaxy</x:v>
      </x:c>
      <x:c r="C30" s="13" t="str">
        <x:v>12:18:49.60</x:v>
      </x:c>
      <x:c r="D30" s="13" t="str">
        <x:v>+14:24:59.4</x:v>
      </x:c>
      <x:c r="E30" s="13" t="str">
        <x:v>Coma Berenices</x:v>
      </x:c>
      <x:c r="F30" s="13" t="str">
        <x:v>Both hemispheres</x:v>
      </x:c>
      <x:c r="G30" s="13" t="str">
        <x:v>5.04 × 4.74</x:v>
      </x:c>
      <x:c r="H30" s="16" t="n">
        <x:v>5.04</x:v>
      </x:c>
      <x:c r="I30" s="16" t="n">
        <x:v>4.74</x:v>
      </x:c>
      <x:c r="J30" s="16" t="n">
        <x:v>9.84</x:v>
      </x:c>
      <x:c r="K30" s="13" t="str">
        <x:v>V</x:v>
      </x:c>
      <x:c r="L30" s="13" t="str">
        <x:v>Spiral (Sc)</x:v>
      </x:c>
      <x:c r="M30" s="13" t="str">
        <x:v>Yes</x:v>
      </x:c>
      <x:c r="N30" s="13" t="str">
        <x:v>Weak</x:v>
      </x:c>
      <x:c r="O30" s="13" t="str">
        <x:v>No</x:v>
      </x:c>
      <x:c r="P30" s="13" t="str">
        <x:v>Yes</x:v>
      </x:c>
      <x:c r="Q30" s="18" t="n">
        <x:v>4</x:v>
      </x:c>
      <x:c r="R30" s="18" t="str"/>
      <x:c r="S30" s="13" t="str">
        <x:v>Project-discussed target</x:v>
      </x:c>
      <x:c r="T30" s="13" t="str">
        <x:v>Mar 2026 CAP</x:v>
      </x:c>
      <x:c r="U30" s="13" t="str">
        <x:v>Face-on Virgo spiral; small but worthwhile with enough integration.</x:v>
      </x:c>
      <x:c r="V30" s="13" t="str">
        <x:v>https://github.com/mattiaverga/openngc</x:v>
      </x:c>
      <x:c r="W30" s="13" t="str">
        <x:v>https://www.mpia.de/5720090/2021-07-phangs-muse-en</x:v>
      </x:c>
    </x:row>
    <x:row r="31">
      <x:c r="A31" s="13" t="str">
        <x:v>M100 / NGC 4321</x:v>
      </x:c>
      <x:c r="B31" s="13" t="str">
        <x:v>Mirror Galaxy</x:v>
      </x:c>
      <x:c r="C31" s="13" t="str">
        <x:v>12:22:54.83</x:v>
      </x:c>
      <x:c r="D31" s="13" t="str">
        <x:v>+15:49:18.5</x:v>
      </x:c>
      <x:c r="E31" s="13" t="str">
        <x:v>Coma Berenices</x:v>
      </x:c>
      <x:c r="F31" s="13" t="str">
        <x:v>Both hemispheres</x:v>
      </x:c>
      <x:c r="G31" s="13" t="str">
        <x:v>6.10 × 5.62</x:v>
      </x:c>
      <x:c r="H31" s="16" t="n">
        <x:v>6.1</x:v>
      </x:c>
      <x:c r="I31" s="16" t="n">
        <x:v>5.62</x:v>
      </x:c>
      <x:c r="J31" s="16" t="n">
        <x:v>9.47</x:v>
      </x:c>
      <x:c r="K31" s="13" t="str">
        <x:v>V</x:v>
      </x:c>
      <x:c r="L31" s="13" t="str">
        <x:v>Intermediate barred spiral (SABb)</x:v>
      </x:c>
      <x:c r="M31" s="13" t="str">
        <x:v>Yes</x:v>
      </x:c>
      <x:c r="N31" s="13" t="str">
        <x:v>Weak</x:v>
      </x:c>
      <x:c r="O31" s="13" t="str">
        <x:v>No</x:v>
      </x:c>
      <x:c r="P31" s="13" t="str">
        <x:v>Yes</x:v>
      </x:c>
      <x:c r="Q31" s="18" t="n">
        <x:v>4</x:v>
      </x:c>
      <x:c r="R31" s="18" t="str"/>
      <x:c r="S31" s="13" t="str">
        <x:v>Project-discussed target</x:v>
      </x:c>
      <x:c r="T31" s="13" t="str">
        <x:v>Mar 2026 CAP</x:v>
      </x:c>
      <x:c r="U31" s="13" t="str">
        <x:v>Strong H II-region catalog target in Virgo; excellent if you gather enough exposure.</x:v>
      </x:c>
      <x:c r="V31" s="13" t="str">
        <x:v>https://github.com/mattiaverga/openngc</x:v>
      </x:c>
      <x:c r="W31" s="13" t="str">
        <x:v>https://www.iac.es/es/ciencia-y-tecnologia/publicaciones/hii-region-catalogue-m100-knapen-1998</x:v>
      </x:c>
    </x:row>
    <x:row r="32">
      <x:c r="A32" s="13" t="str">
        <x:v>M101 / NGC 5457</x:v>
      </x:c>
      <x:c r="B32" s="13" t="str">
        <x:v>Pinwheel Galaxy</x:v>
      </x:c>
      <x:c r="C32" s="13" t="str">
        <x:v>14:03:12.54</x:v>
      </x:c>
      <x:c r="D32" s="13" t="str">
        <x:v>+54:20:56.2</x:v>
      </x:c>
      <x:c r="E32" s="13" t="str">
        <x:v>Ursa Major</x:v>
      </x:c>
      <x:c r="F32" s="13" t="str">
        <x:v>North-favored</x:v>
      </x:c>
      <x:c r="G32" s="13" t="str">
        <x:v>23.99 × 23.07</x:v>
      </x:c>
      <x:c r="H32" s="16" t="n">
        <x:v>23.99</x:v>
      </x:c>
      <x:c r="I32" s="16" t="n">
        <x:v>23.07</x:v>
      </x:c>
      <x:c r="J32" s="16" t="n">
        <x:v>7.9</x:v>
      </x:c>
      <x:c r="K32" s="13" t="str">
        <x:v>V</x:v>
      </x:c>
      <x:c r="L32" s="13" t="str">
        <x:v>Intermediate barred spiral (SABc)</x:v>
      </x:c>
      <x:c r="M32" s="13" t="str">
        <x:v>Yes</x:v>
      </x:c>
      <x:c r="N32" s="13" t="str">
        <x:v>Weak</x:v>
      </x:c>
      <x:c r="O32" s="13" t="str">
        <x:v>Weak</x:v>
      </x:c>
      <x:c r="P32" s="13" t="str">
        <x:v>Yes</x:v>
      </x:c>
      <x:c r="Q32" s="18" t="n">
        <x:v>5</x:v>
      </x:c>
      <x:c r="R32" s="18" t="n">
        <x:v>9</x:v>
      </x:c>
      <x:c r="S32" s="13" t="str">
        <x:v>Project-discussed target</x:v>
      </x:c>
      <x:c r="T32" s="13" t="str">
        <x:v>Apr 2025 CAP; Apr 2026 CAP</x:v>
      </x:c>
      <x:c r="U32" s="13" t="str">
        <x:v>One of the best northern-sky Hα-region galaxies; many large H II complexes.</x:v>
      </x:c>
      <x:c r="V32" s="13" t="str">
        <x:v>https://github.com/mattiaverga/openngc</x:v>
      </x:c>
      <x:c r="W32" s="13" t="str">
        <x:v>https://ui.adsabs.harvard.edu/abs/1990ApJS...73..661H/abstract</x:v>
      </x:c>
    </x:row>
    <x:row r="33">
      <x:c r="A33" s="13" t="str">
        <x:v>M104 / NGC 4594</x:v>
      </x:c>
      <x:c r="B33" s="13" t="str">
        <x:v>Sombrero Galaxy</x:v>
      </x:c>
      <x:c r="C33" s="13" t="str">
        <x:v>12:39:59.43</x:v>
      </x:c>
      <x:c r="D33" s="13" t="str">
        <x:v>-11:37:23.0</x:v>
      </x:c>
      <x:c r="E33" s="13" t="str">
        <x:v>Virgo</x:v>
      </x:c>
      <x:c r="F33" s="13" t="str">
        <x:v>Both hemispheres</x:v>
      </x:c>
      <x:c r="G33" s="13" t="str">
        <x:v>8.45 × 4.91</x:v>
      </x:c>
      <x:c r="H33" s="16" t="n">
        <x:v>8.45</x:v>
      </x:c>
      <x:c r="I33" s="16" t="n">
        <x:v>4.91</x:v>
      </x:c>
      <x:c r="J33" s="16" t="n">
        <x:v>8.59</x:v>
      </x:c>
      <x:c r="K33" s="13" t="str">
        <x:v>V</x:v>
      </x:c>
      <x:c r="L33" s="13" t="str">
        <x:v>Spiral (Sa)</x:v>
      </x:c>
      <x:c r="M33" s="13" t="str">
        <x:v>No</x:v>
      </x:c>
      <x:c r="N33" s="13" t="str">
        <x:v>Yes</x:v>
      </x:c>
      <x:c r="O33" s="13" t="str">
        <x:v>No</x:v>
      </x:c>
      <x:c r="P33" s="13" t="str">
        <x:v>Yes</x:v>
      </x:c>
      <x:c r="Q33" s="18" t="n">
        <x:v>1</x:v>
      </x:c>
      <x:c r="R33" s="18" t="n">
        <x:v>17</x:v>
      </x:c>
      <x:c r="S33" s="13" t="str">
        <x:v>Project-discussed target</x:v>
      </x:c>
      <x:c r="T33" s="13" t="str">
        <x:v>Mar 2025 DART; Mar 2026 CAP</x:v>
      </x:c>
      <x:c r="U33" s="13" t="str">
        <x:v>Beautiful dust-lane galaxy, but not an Hα-region showpiece.</x:v>
      </x:c>
      <x:c r="V33" s="13" t="str">
        <x:v>https://github.com/mattiaverga/openngc</x:v>
      </x:c>
      <x:c r="W33" s="13" t="str">
        <x:v>https://github.com/mattiaverga/openngc</x:v>
      </x:c>
    </x:row>
    <x:row r="34">
      <x:c r="A34" s="13" t="str">
        <x:v>M105 / NGC 3379</x:v>
      </x:c>
      <x:c r="B34" s="13" t="str">
        <x:v>—</x:v>
      </x:c>
      <x:c r="C34" s="13" t="str">
        <x:v>10:47:49.59</x:v>
      </x:c>
      <x:c r="D34" s="13" t="str">
        <x:v>+12:34:53.8</x:v>
      </x:c>
      <x:c r="E34" s="13" t="str">
        <x:v>Leo</x:v>
      </x:c>
      <x:c r="F34" s="13" t="str">
        <x:v>Both hemispheres</x:v>
      </x:c>
      <x:c r="G34" s="13" t="str">
        <x:v>4.89 × 4.25</x:v>
      </x:c>
      <x:c r="H34" s="16" t="n">
        <x:v>4.89</x:v>
      </x:c>
      <x:c r="I34" s="16" t="n">
        <x:v>4.25</x:v>
      </x:c>
      <x:c r="J34" s="16" t="n">
        <x:v>9.27</x:v>
      </x:c>
      <x:c r="K34" s="13" t="str">
        <x:v>V</x:v>
      </x:c>
      <x:c r="L34" s="13" t="str">
        <x:v>Elliptical (E)</x:v>
      </x:c>
      <x:c r="M34" s="13" t="str">
        <x:v>No</x:v>
      </x:c>
      <x:c r="N34" s="13" t="str">
        <x:v>No</x:v>
      </x:c>
      <x:c r="O34" s="13" t="str">
        <x:v>No</x:v>
      </x:c>
      <x:c r="P34" s="13" t="str">
        <x:v>Yes</x:v>
      </x:c>
      <x:c r="Q34" s="18" t="n">
        <x:v>1</x:v>
      </x:c>
      <x:c r="R34" s="18" t="str"/>
      <x:c r="S34" s="13" t="str">
        <x:v>Project-discussed target</x:v>
      </x:c>
      <x:c r="T34" s="13" t="str">
        <x:v>Mar 2025 DART; Mar 2026 CAP</x:v>
      </x:c>
      <x:c r="U34" s="13" t="str">
        <x:v>Elliptical Leo galaxy; not a star-forming Hα target.</x:v>
      </x:c>
      <x:c r="V34" s="13" t="str">
        <x:v>https://github.com/mattiaverga/openngc</x:v>
      </x:c>
      <x:c r="W34" s="13" t="str">
        <x:v>https://github.com/mattiaverga/openngc</x:v>
      </x:c>
    </x:row>
    <x:row r="35">
      <x:c r="A35" s="13" t="str">
        <x:v>M106 / NGC 4258</x:v>
      </x:c>
      <x:c r="B35" s="13" t="str">
        <x:v>—</x:v>
      </x:c>
      <x:c r="C35" s="13" t="str">
        <x:v>12:18:57.50</x:v>
      </x:c>
      <x:c r="D35" s="13" t="str">
        <x:v>+47:18:14.3</x:v>
      </x:c>
      <x:c r="E35" s="13" t="str">
        <x:v>Canes Venatici</x:v>
      </x:c>
      <x:c r="F35" s="13" t="str">
        <x:v>Both hemispheres</x:v>
      </x:c>
      <x:c r="G35" s="13" t="str">
        <x:v>16.98 × 7.24</x:v>
      </x:c>
      <x:c r="H35" s="16" t="n">
        <x:v>16.98</x:v>
      </x:c>
      <x:c r="I35" s="16" t="n">
        <x:v>7.24</x:v>
      </x:c>
      <x:c r="J35" s="16" t="n">
        <x:v>9.29</x:v>
      </x:c>
      <x:c r="K35" s="13" t="str">
        <x:v>V</x:v>
      </x:c>
      <x:c r="L35" s="13" t="str">
        <x:v>Spiral (Sbc)</x:v>
      </x:c>
      <x:c r="M35" s="13" t="str">
        <x:v>Yes</x:v>
      </x:c>
      <x:c r="N35" s="13" t="str">
        <x:v>Yes</x:v>
      </x:c>
      <x:c r="O35" s="13" t="str">
        <x:v>Weak</x:v>
      </x:c>
      <x:c r="P35" s="13" t="str">
        <x:v>Yes</x:v>
      </x:c>
      <x:c r="Q35" s="18" t="n">
        <x:v>5</x:v>
      </x:c>
      <x:c r="R35" s="18" t="n">
        <x:v>20</x:v>
      </x:c>
      <x:c r="S35" s="13" t="str">
        <x:v>Project-discussed target</x:v>
      </x:c>
      <x:c r="T35" s="13" t="str">
        <x:v>Mar 2026 CAP</x:v>
      </x:c>
      <x:c r="U35" s="13" t="str">
        <x:v>Has red hydrogen emission in anomalous arms plus normal star-forming structure.</x:v>
      </x:c>
      <x:c r="V35" s="13" t="str">
        <x:v>https://github.com/mattiaverga/openngc</x:v>
      </x:c>
      <x:c r="W35" s="13" t="str">
        <x:v>https://science.nasa.gov/asset/hubble/galaxy-m106/</x:v>
      </x:c>
    </x:row>
    <x:row r="36">
      <x:c r="A36" s="13" t="str">
        <x:v>M108 / NGC 3556</x:v>
      </x:c>
      <x:c r="B36" s="13" t="str">
        <x:v>Surfboard Galaxy</x:v>
      </x:c>
      <x:c r="C36" s="13" t="str">
        <x:v>11:11:30.97</x:v>
      </x:c>
      <x:c r="D36" s="13" t="str">
        <x:v>+55:40:26.8</x:v>
      </x:c>
      <x:c r="E36" s="13" t="str">
        <x:v>Ursa Major</x:v>
      </x:c>
      <x:c r="F36" s="13" t="str">
        <x:v>North-favored</x:v>
      </x:c>
      <x:c r="G36" s="13" t="str">
        <x:v>3.98 × 1.66</x:v>
      </x:c>
      <x:c r="H36" s="16" t="n">
        <x:v>3.98</x:v>
      </x:c>
      <x:c r="I36" s="16" t="n">
        <x:v>1.66</x:v>
      </x:c>
      <x:c r="J36" s="16" t="n">
        <x:v>10.05</x:v>
      </x:c>
      <x:c r="K36" s="13" t="str">
        <x:v>V</x:v>
      </x:c>
      <x:c r="L36" s="13" t="str">
        <x:v>Spiral (Sc)</x:v>
      </x:c>
      <x:c r="M36" s="13" t="str">
        <x:v>Weak</x:v>
      </x:c>
      <x:c r="N36" s="13" t="str">
        <x:v>Yes</x:v>
      </x:c>
      <x:c r="O36" s="13" t="str">
        <x:v>No</x:v>
      </x:c>
      <x:c r="P36" s="13" t="str">
        <x:v>Yes</x:v>
      </x:c>
      <x:c r="Q36" s="18" t="n">
        <x:v>3</x:v>
      </x:c>
      <x:c r="R36" s="18" t="str"/>
      <x:c r="S36" s="13" t="str">
        <x:v>Project-discussed target</x:v>
      </x:c>
      <x:c r="T36" s="13" t="str">
        <x:v>Mar 2025 DART; Mar 2026 CAP</x:v>
      </x:c>
      <x:c r="U36" s="13" t="str">
        <x:v>Edge-on star-forming galaxy; Hα is harder to separate visually.</x:v>
      </x:c>
      <x:c r="V36" s="13" t="str">
        <x:v>https://github.com/mattiaverga/openngc</x:v>
      </x:c>
      <x:c r="W36" s="13" t="str">
        <x:v>https://github.com/mattiaverga/openngc</x:v>
      </x:c>
    </x:row>
    <x:row r="37">
      <x:c r="A37" s="13" t="str">
        <x:v>M109 / NGC 3992</x:v>
      </x:c>
      <x:c r="B37" s="13" t="str">
        <x:v>Vacuum Cleaner Galaxy</x:v>
      </x:c>
      <x:c r="C37" s="13" t="str">
        <x:v>11:57:35.98</x:v>
      </x:c>
      <x:c r="D37" s="13" t="str">
        <x:v>+53:22:28.3</x:v>
      </x:c>
      <x:c r="E37" s="13" t="str">
        <x:v>Ursa Major</x:v>
      </x:c>
      <x:c r="F37" s="13" t="str">
        <x:v>North-favored</x:v>
      </x:c>
      <x:c r="G37" s="13" t="str">
        <x:v>8.07 × 5.64</x:v>
      </x:c>
      <x:c r="H37" s="16" t="n">
        <x:v>8.07</x:v>
      </x:c>
      <x:c r="I37" s="16" t="n">
        <x:v>5.64</x:v>
      </x:c>
      <x:c r="J37" s="16" t="n">
        <x:v>9.88</x:v>
      </x:c>
      <x:c r="K37" s="13" t="str">
        <x:v>V</x:v>
      </x:c>
      <x:c r="L37" s="13" t="str">
        <x:v>Spiral (Sbc)</x:v>
      </x:c>
      <x:c r="M37" s="13" t="str">
        <x:v>Weak</x:v>
      </x:c>
      <x:c r="N37" s="13" t="str">
        <x:v>Weak</x:v>
      </x:c>
      <x:c r="O37" s="13" t="str">
        <x:v>No</x:v>
      </x:c>
      <x:c r="P37" s="13" t="str">
        <x:v>Yes</x:v>
      </x:c>
      <x:c r="Q37" s="18" t="n">
        <x:v>3</x:v>
      </x:c>
      <x:c r="R37" s="18" t="str"/>
      <x:c r="S37" s="13" t="str">
        <x:v>Project-discussed target</x:v>
      </x:c>
      <x:c r="T37" s="13" t="str">
        <x:v>Mar 2026 CAP</x:v>
      </x:c>
      <x:c r="U37" s="13" t="str">
        <x:v>Barred spiral, but Hα regions are small/faint at Seestar scale.</x:v>
      </x:c>
      <x:c r="V37" s="13" t="str">
        <x:v>https://github.com/mattiaverga/openngc</x:v>
      </x:c>
      <x:c r="W37" s="13" t="str">
        <x:v>https://github.com/mattiaverga/openngc</x:v>
      </x:c>
    </x:row>
    <x:row r="38">
      <x:c r="A38" s="13" t="str">
        <x:v>IC 1613</x:v>
      </x:c>
      <x:c r="B38" s="13" t="str">
        <x:v>—</x:v>
      </x:c>
      <x:c r="C38" s="13" t="str">
        <x:v>01:04:47.79</x:v>
      </x:c>
      <x:c r="D38" s="13" t="str">
        <x:v>+02:07:04.0</x:v>
      </x:c>
      <x:c r="E38" s="13" t="str">
        <x:v>Cetus</x:v>
      </x:c>
      <x:c r="F38" s="13" t="str">
        <x:v>Both hemispheres</x:v>
      </x:c>
      <x:c r="G38" s="13" t="str">
        <x:v>18.32 × 17.14</x:v>
      </x:c>
      <x:c r="H38" s="16" t="n">
        <x:v>18.32</x:v>
      </x:c>
      <x:c r="I38" s="16" t="n">
        <x:v>17.14</x:v>
      </x:c>
      <x:c r="J38" s="16" t="n">
        <x:v>9.54</x:v>
      </x:c>
      <x:c r="K38" s="13" t="str">
        <x:v>V</x:v>
      </x:c>
      <x:c r="L38" s="13" t="str">
        <x:v>Irregular (I)</x:v>
      </x:c>
      <x:c r="M38" s="13" t="str">
        <x:v>Weak</x:v>
      </x:c>
      <x:c r="N38" s="13" t="str">
        <x:v>No</x:v>
      </x:c>
      <x:c r="O38" s="13" t="str">
        <x:v>No</x:v>
      </x:c>
      <x:c r="P38" s="13" t="str">
        <x:v>Yes</x:v>
      </x:c>
      <x:c r="Q38" s="18" t="n">
        <x:v>2</x:v>
      </x:c>
      <x:c r="R38" s="18" t="str"/>
      <x:c r="S38" s="13" t="str">
        <x:v>Project-discussed target</x:v>
      </x:c>
      <x:c r="T38" s="13" t="str">
        <x:v>Oct 2025 CAP</x:v>
      </x:c>
      <x:c r="U38" s="13" t="str">
        <x:v>Known to contain H II regions, but low-surface-brightness and difficult.</x:v>
      </x:c>
      <x:c r="V38" s="13" t="str">
        <x:v>https://github.com/mattiaverga/openngc</x:v>
      </x:c>
      <x:c r="W38" s="13" t="str">
        <x:v>https://ntrs.nasa.gov/citations/19910004844</x:v>
      </x:c>
    </x:row>
    <x:row r="39">
      <x:c r="A39" s="13" t="str">
        <x:v>LMC / ESO 56-115</x:v>
      </x:c>
      <x:c r="B39" s="13" t="str">
        <x:v>Large Magellanic Cloud</x:v>
      </x:c>
      <x:c r="C39" s="13" t="str">
        <x:v>05:23:34.5</x:v>
      </x:c>
      <x:c r="D39" s="13" t="str">
        <x:v>-69:45:22</x:v>
      </x:c>
      <x:c r="E39" s="13" t="str">
        <x:v>Dorado</x:v>
      </x:c>
      <x:c r="F39" s="13" t="str">
        <x:v>South-favored</x:v>
      </x:c>
      <x:c r="G39" s="13" t="str">
        <x:v>646.00 × 550.00</x:v>
      </x:c>
      <x:c r="H39" s="16" t="n">
        <x:v>646</x:v>
      </x:c>
      <x:c r="I39" s="16" t="n">
        <x:v>550</x:v>
      </x:c>
      <x:c r="J39" s="16" t="n">
        <x:v>0.29</x:v>
      </x:c>
      <x:c r="K39" s="13" t="str">
        <x:v>V</x:v>
      </x:c>
      <x:c r="L39" s="13" t="str">
        <x:v>Magellanic barred spiral / irregular (SBm)</x:v>
      </x:c>
      <x:c r="M39" s="13" t="str">
        <x:v>Yes</x:v>
      </x:c>
      <x:c r="N39" s="13" t="str">
        <x:v>Weak</x:v>
      </x:c>
      <x:c r="O39" s="13" t="str">
        <x:v>Weak</x:v>
      </x:c>
      <x:c r="P39" s="13" t="str">
        <x:v>Not visible from NJ</x:v>
      </x:c>
      <x:c r="Q39" s="18" t="n">
        <x:v>1</x:v>
      </x:c>
      <x:c r="R39" s="18" t="n">
        <x:v>1</x:v>
      </x:c>
      <x:c r="S39" s="13" t="str">
        <x:v>Project-discussed target</x:v>
      </x:c>
      <x:c r="T39" s="13" t="str">
        <x:v>Oct 2025 CAP</x:v>
      </x:c>
      <x:c r="U39" s="13" t="str">
        <x:v>Contains major H II regions such as 30 Doradus/Tarantula Nebula, but not visible from Hunterdon County/NJ.</x:v>
      </x:c>
      <x:c r="V39" s="13" t="str">
        <x:v>https://github.com/mattiaverga/openngc</x:v>
      </x:c>
      <x:c r="W39" s="13" t="str">
        <x:v>https://www.jpl.nasa.gov/images/pia15079-30-doradus-the-growing-tarantula-within/</x:v>
      </x:c>
    </x:row>
    <x:row r="40">
      <x:c r="A40" s="13" t="str">
        <x:v>SMC / NGC 292</x:v>
      </x:c>
      <x:c r="B40" s="13" t="str">
        <x:v>Small Magellanic Cloud</x:v>
      </x:c>
      <x:c r="C40" s="13" t="str">
        <x:v>00:52:44.78</x:v>
      </x:c>
      <x:c r="D40" s="13" t="str">
        <x:v>-72:49:43.0</x:v>
      </x:c>
      <x:c r="E40" s="13" t="str">
        <x:v>Tucana</x:v>
      </x:c>
      <x:c r="F40" s="13" t="str">
        <x:v>South-favored</x:v>
      </x:c>
      <x:c r="G40" s="13" t="str">
        <x:v>299.92 × 179.89</x:v>
      </x:c>
      <x:c r="H40" s="16" t="n">
        <x:v>299.92</x:v>
      </x:c>
      <x:c r="I40" s="16" t="n">
        <x:v>179.89</x:v>
      </x:c>
      <x:c r="J40" s="16" t="n">
        <x:v>2.3</x:v>
      </x:c>
      <x:c r="K40" s="13" t="str">
        <x:v>V</x:v>
      </x:c>
      <x:c r="L40" s="13" t="str">
        <x:v>Magellanic barred spiral / irregular (SBm)</x:v>
      </x:c>
      <x:c r="M40" s="13" t="str">
        <x:v>Yes</x:v>
      </x:c>
      <x:c r="N40" s="13" t="str">
        <x:v>Weak</x:v>
      </x:c>
      <x:c r="O40" s="13" t="str">
        <x:v>Weak</x:v>
      </x:c>
      <x:c r="P40" s="13" t="str">
        <x:v>Not visible from NJ</x:v>
      </x:c>
      <x:c r="Q40" s="18" t="n">
        <x:v>1</x:v>
      </x:c>
      <x:c r="R40" s="18" t="n">
        <x:v>2</x:v>
      </x:c>
      <x:c r="S40" s="13" t="str">
        <x:v>Project-discussed target</x:v>
      </x:c>
      <x:c r="T40" s="13" t="str">
        <x:v>Oct 2025 CAP</x:v>
      </x:c>
      <x:c r="U40" s="13" t="str">
        <x:v>Has major star-forming regions such as NGC 346, but not visible from Hunterdon County/NJ.</x:v>
      </x:c>
      <x:c r="V40" s="13" t="str">
        <x:v>https://github.com/mattiaverga/openngc</x:v>
      </x:c>
      <x:c r="W40" s="13" t="str">
        <x:v>https://science.nasa.gov/asset/hubble/young-stars-sculpt-gas-with-powerful-outflows-in-the-small-magellanic-cloud/</x:v>
      </x:c>
    </x:row>
    <x:row r="41">
      <x:c r="A41" s="13" t="str">
        <x:v>NGC 55</x:v>
      </x:c>
      <x:c r="B41" s="13" t="str">
        <x:v>String of Pearls Galaxy</x:v>
      </x:c>
      <x:c r="C41" s="13" t="str">
        <x:v>00:14:53.60</x:v>
      </x:c>
      <x:c r="D41" s="13" t="str">
        <x:v>-39:11:47.9</x:v>
      </x:c>
      <x:c r="E41" s="13" t="str">
        <x:v>Sculptor</x:v>
      </x:c>
      <x:c r="F41" s="13" t="str">
        <x:v>Both hemispheres</x:v>
      </x:c>
      <x:c r="G41" s="13" t="str">
        <x:v>29.85 × 3.05</x:v>
      </x:c>
      <x:c r="H41" s="16" t="n">
        <x:v>29.85</x:v>
      </x:c>
      <x:c r="I41" s="16" t="n">
        <x:v>3.05</x:v>
      </x:c>
      <x:c r="J41" s="16" t="n">
        <x:v>8.54</x:v>
      </x:c>
      <x:c r="K41" s="13" t="str">
        <x:v>V</x:v>
      </x:c>
      <x:c r="L41" s="13" t="str">
        <x:v>Magellanic barred spiral / irregular (SBm)</x:v>
      </x:c>
      <x:c r="M41" s="13" t="str">
        <x:v>Yes</x:v>
      </x:c>
      <x:c r="N41" s="13" t="str">
        <x:v>Yes</x:v>
      </x:c>
      <x:c r="O41" s="13" t="str">
        <x:v>Weak</x:v>
      </x:c>
      <x:c r="P41" s="13" t="str">
        <x:v>Very low/impractical</x:v>
      </x:c>
      <x:c r="Q41" s="18" t="n">
        <x:v>1</x:v>
      </x:c>
      <x:c r="R41" s="18" t="n">
        <x:v>7</x:v>
      </x:c>
      <x:c r="S41" s="13" t="str">
        <x:v>Project-discussed target</x:v>
      </x:c>
      <x:c r="T41" s="13" t="str">
        <x:v>Sep 2025 CAP</x:v>
      </x:c>
      <x:c r="U41" s="13" t="str">
        <x:v>Active star-forming galaxy, but extremely low from Hunterdon County/NJ.</x:v>
      </x:c>
      <x:c r="V41" s="13" t="str">
        <x:v>https://github.com/mattiaverga/openngc</x:v>
      </x:c>
      <x:c r="W41" s="13" t="str">
        <x:v>https://www.jpl.nasa.gov/images/pia04923-galaxy-ngc-55/</x:v>
      </x:c>
    </x:row>
    <x:row r="42">
      <x:c r="A42" s="13" t="str">
        <x:v>NGC 1097</x:v>
      </x:c>
      <x:c r="B42" s="13" t="str">
        <x:v>—</x:v>
      </x:c>
      <x:c r="C42" s="13" t="str">
        <x:v>02:46:19.05</x:v>
      </x:c>
      <x:c r="D42" s="13" t="str">
        <x:v>-30:16:29.6</x:v>
      </x:c>
      <x:c r="E42" s="13" t="str">
        <x:v>Fornax</x:v>
      </x:c>
      <x:c r="F42" s="13" t="str">
        <x:v>Both hemispheres</x:v>
      </x:c>
      <x:c r="G42" s="13" t="str">
        <x:v>10.57 × 6.44</x:v>
      </x:c>
      <x:c r="H42" s="16" t="n">
        <x:v>10.57</x:v>
      </x:c>
      <x:c r="I42" s="16" t="n">
        <x:v>6.44</x:v>
      </x:c>
      <x:c r="J42" s="16" t="n">
        <x:v>9.76</x:v>
      </x:c>
      <x:c r="K42" s="13" t="str">
        <x:v>V</x:v>
      </x:c>
      <x:c r="L42" s="13" t="str">
        <x:v>Barred spiral (SBb)</x:v>
      </x:c>
      <x:c r="M42" s="13" t="str">
        <x:v>Yes</x:v>
      </x:c>
      <x:c r="N42" s="13" t="str">
        <x:v>Yes</x:v>
      </x:c>
      <x:c r="O42" s="13" t="str">
        <x:v>Weak</x:v>
      </x:c>
      <x:c r="P42" s="13" t="str">
        <x:v>Low/southern</x:v>
      </x:c>
      <x:c r="Q42" s="18" t="n">
        <x:v>2</x:v>
      </x:c>
      <x:c r="R42" s="18" t="str"/>
      <x:c r="S42" s="13" t="str">
        <x:v>Project-discussed target</x:v>
      </x:c>
      <x:c r="T42" s="13" t="str">
        <x:v>Nov 2025 CAP</x:v>
      </x:c>
      <x:c r="U42" s="13" t="str">
        <x:v>Bright star-forming ring around the nucleus; excellent target intrinsically, but low from NJ.</x:v>
      </x:c>
      <x:c r="V42" s="13" t="str">
        <x:v>https://github.com/mattiaverga/openngc</x:v>
      </x:c>
      <x:c r="W42" s="13" t="str">
        <x:v>https://science.nasa.gov/missions/hubble/hubble-eyes-a-wanderer-dancing-the-dance-of-stars-and-space/</x:v>
      </x:c>
    </x:row>
    <x:row r="43">
      <x:c r="A43" s="13" t="str">
        <x:v>NGC 1365</x:v>
      </x:c>
      <x:c r="B43" s="13" t="str">
        <x:v>Great Barred Spiral Galaxy</x:v>
      </x:c>
      <x:c r="C43" s="13" t="str">
        <x:v>03:33:36.37</x:v>
      </x:c>
      <x:c r="D43" s="13" t="str">
        <x:v>-36:08:25.4</x:v>
      </x:c>
      <x:c r="E43" s="13" t="str">
        <x:v>Fornax</x:v>
      </x:c>
      <x:c r="F43" s="13" t="str">
        <x:v>Both hemispheres</x:v>
      </x:c>
      <x:c r="G43" s="13" t="str">
        <x:v>12.02 × 6.14</x:v>
      </x:c>
      <x:c r="H43" s="16" t="n">
        <x:v>12.02</x:v>
      </x:c>
      <x:c r="I43" s="16" t="n">
        <x:v>6.14</x:v>
      </x:c>
      <x:c r="J43" s="16" t="n">
        <x:v>10.1</x:v>
      </x:c>
      <x:c r="K43" s="13" t="str">
        <x:v>V</x:v>
      </x:c>
      <x:c r="L43" s="13" t="str">
        <x:v>Spiral (Sb)</x:v>
      </x:c>
      <x:c r="M43" s="13" t="str">
        <x:v>Yes</x:v>
      </x:c>
      <x:c r="N43" s="13" t="str">
        <x:v>Yes</x:v>
      </x:c>
      <x:c r="O43" s="13" t="str">
        <x:v>Weak</x:v>
      </x:c>
      <x:c r="P43" s="13" t="str">
        <x:v>Low/southern</x:v>
      </x:c>
      <x:c r="Q43" s="18" t="n">
        <x:v>2</x:v>
      </x:c>
      <x:c r="R43" s="18" t="n">
        <x:v>68</x:v>
      </x:c>
      <x:c r="S43" s="13" t="str">
        <x:v>Project-discussed target</x:v>
      </x:c>
      <x:c r="T43" s="13" t="str">
        <x:v>Nov 2025 CAP</x:v>
      </x:c>
      <x:c r="U43" s="13" t="str">
        <x:v>Strong barred spiral/star-forming system, but very low from NJ.</x:v>
      </x:c>
      <x:c r="V43" s="13" t="str">
        <x:v>https://github.com/mattiaverga/openngc</x:v>
      </x:c>
      <x:c r="W43" s="13" t="str">
        <x:v>https://science.nasa.gov/asset/hubble/barred-spiral-galaxy-ngc-1365/</x:v>
      </x:c>
    </x:row>
    <x:row r="44">
      <x:c r="A44" s="13" t="str">
        <x:v>NGC 2903</x:v>
      </x:c>
      <x:c r="B44" s="13" t="str">
        <x:v>—</x:v>
      </x:c>
      <x:c r="C44" s="13" t="str">
        <x:v>09:32:10.11</x:v>
      </x:c>
      <x:c r="D44" s="13" t="str">
        <x:v>+21:30:03.0</x:v>
      </x:c>
      <x:c r="E44" s="13" t="str">
        <x:v>Leo</x:v>
      </x:c>
      <x:c r="F44" s="13" t="str">
        <x:v>Both hemispheres</x:v>
      </x:c>
      <x:c r="G44" s="13" t="str">
        <x:v>11.94 × 5.28</x:v>
      </x:c>
      <x:c r="H44" s="16" t="n">
        <x:v>11.94</x:v>
      </x:c>
      <x:c r="I44" s="16" t="n">
        <x:v>5.28</x:v>
      </x:c>
      <x:c r="J44" s="16" t="n">
        <x:v>8.91</x:v>
      </x:c>
      <x:c r="K44" s="13" t="str">
        <x:v>V</x:v>
      </x:c>
      <x:c r="L44" s="13" t="str">
        <x:v>Spiral (Sbc)</x:v>
      </x:c>
      <x:c r="M44" s="13" t="str">
        <x:v>Yes</x:v>
      </x:c>
      <x:c r="N44" s="13" t="str">
        <x:v>Yes</x:v>
      </x:c>
      <x:c r="O44" s="13" t="str">
        <x:v>Weak</x:v>
      </x:c>
      <x:c r="P44" s="13" t="str">
        <x:v>Yes</x:v>
      </x:c>
      <x:c r="Q44" s="18" t="n">
        <x:v>4</x:v>
      </x:c>
      <x:c r="R44" s="18" t="n">
        <x:v>69</x:v>
      </x:c>
      <x:c r="S44" s="13" t="str">
        <x:v>Project-discussed target</x:v>
      </x:c>
      <x:c r="T44" s="13" t="str">
        <x:v>Feb 2026 CAP</x:v>
      </x:c>
      <x:c r="U44" s="13" t="str">
        <x:v>Strong candidate; central starburst and H II regions along the bar/arms.</x:v>
      </x:c>
      <x:c r="V44" s="13" t="str">
        <x:v>https://github.com/mattiaverga/openngc</x:v>
      </x:c>
      <x:c r="W44" s="13" t="str">
        <x:v>https://arxiv.org/abs/astro-ph/0008437</x:v>
      </x:c>
    </x:row>
    <x:row r="45">
      <x:c r="A45" s="13" t="str">
        <x:v>NGC 2997</x:v>
      </x:c>
      <x:c r="B45" s="13" t="str">
        <x:v>—</x:v>
      </x:c>
      <x:c r="C45" s="13" t="str">
        <x:v>09:45:38.79</x:v>
      </x:c>
      <x:c r="D45" s="13" t="str">
        <x:v>-31:11:27.9</x:v>
      </x:c>
      <x:c r="E45" s="13" t="str">
        <x:v>Antlia</x:v>
      </x:c>
      <x:c r="F45" s="13" t="str">
        <x:v>Both hemispheres</x:v>
      </x:c>
      <x:c r="G45" s="13" t="str">
        <x:v>10.26 × 6.21</x:v>
      </x:c>
      <x:c r="H45" s="16" t="n">
        <x:v>10.26</x:v>
      </x:c>
      <x:c r="I45" s="16" t="n">
        <x:v>6.21</x:v>
      </x:c>
      <x:c r="J45" s="16" t="n">
        <x:v>9.41</x:v>
      </x:c>
      <x:c r="K45" s="13" t="str">
        <x:v>V</x:v>
      </x:c>
      <x:c r="L45" s="13" t="str">
        <x:v>Intermediate barred spiral (SABc)</x:v>
      </x:c>
      <x:c r="M45" s="13" t="str">
        <x:v>Yes</x:v>
      </x:c>
      <x:c r="N45" s="13" t="str">
        <x:v>Weak</x:v>
      </x:c>
      <x:c r="O45" s="13" t="str">
        <x:v>No</x:v>
      </x:c>
      <x:c r="P45" s="13" t="str">
        <x:v>Low/southern</x:v>
      </x:c>
      <x:c r="Q45" s="18" t="n">
        <x:v>2</x:v>
      </x:c>
      <x:c r="R45" s="18" t="n">
        <x:v>96</x:v>
      </x:c>
      <x:c r="S45" s="13" t="str">
        <x:v>Project-discussed target</x:v>
      </x:c>
      <x:c r="T45" s="13" t="str">
        <x:v>Feb 2026 CAP</x:v>
      </x:c>
      <x:c r="U45" s="13" t="str">
        <x:v>Known H II-region galaxy, but low from NJ.</x:v>
      </x:c>
      <x:c r="V45" s="13" t="str">
        <x:v>https://github.com/mattiaverga/openngc</x:v>
      </x:c>
      <x:c r="W45" s="13" t="str">
        <x:v>https://www.aanda.org/articles/aa/full_html/2018/10/aa33262-18/aa33262-18.html</x:v>
      </x:c>
    </x:row>
    <x:row r="46">
      <x:c r="A46" s="13" t="str">
        <x:v>NGC 3521</x:v>
      </x:c>
      <x:c r="B46" s="13" t="str">
        <x:v>Bubble Galaxy</x:v>
      </x:c>
      <x:c r="C46" s="13" t="str">
        <x:v>11:05:48.58</x:v>
      </x:c>
      <x:c r="D46" s="13" t="str">
        <x:v>-00:02:09.1</x:v>
      </x:c>
      <x:c r="E46" s="13" t="str">
        <x:v>Leo</x:v>
      </x:c>
      <x:c r="F46" s="13" t="str">
        <x:v>Both hemispheres</x:v>
      </x:c>
      <x:c r="G46" s="13" t="str">
        <x:v>8.32 × 4.47</x:v>
      </x:c>
      <x:c r="H46" s="16" t="n">
        <x:v>8.32</x:v>
      </x:c>
      <x:c r="I46" s="16" t="n">
        <x:v>4.47</x:v>
      </x:c>
      <x:c r="J46" s="16" t="n">
        <x:v>9.11</x:v>
      </x:c>
      <x:c r="K46" s="13" t="str">
        <x:v>V</x:v>
      </x:c>
      <x:c r="L46" s="13" t="str">
        <x:v>Intermediate barred spiral (SABb)</x:v>
      </x:c>
      <x:c r="M46" s="13" t="str">
        <x:v>Weak</x:v>
      </x:c>
      <x:c r="N46" s="13" t="str">
        <x:v>Yes</x:v>
      </x:c>
      <x:c r="O46" s="13" t="str">
        <x:v>No</x:v>
      </x:c>
      <x:c r="P46" s="13" t="str">
        <x:v>Yes</x:v>
      </x:c>
      <x:c r="Q46" s="18" t="n">
        <x:v>3</x:v>
      </x:c>
      <x:c r="R46" s="18" t="n">
        <x:v>56</x:v>
      </x:c>
      <x:c r="S46" s="13" t="str">
        <x:v>Project-discussed target</x:v>
      </x:c>
      <x:c r="T46" s="13" t="str">
        <x:v>Mar 2025 DART; Mar 2026 CAP</x:v>
      </x:c>
      <x:c r="U46" s="13" t="str">
        <x:v>Real star-forming spiral, but Hα is not as obvious as M101/M33/M51.</x:v>
      </x:c>
      <x:c r="V46" s="13" t="str">
        <x:v>https://github.com/mattiaverga/openngc</x:v>
      </x:c>
      <x:c r="W46" s="13" t="str">
        <x:v>https://github.com/mattiaverga/openngc</x:v>
      </x:c>
    </x:row>
    <x:row r="47">
      <x:c r="A47" s="13" t="str">
        <x:v>NGC 3628</x:v>
      </x:c>
      <x:c r="B47" s="13" t="str">
        <x:v>Hamburger Galaxy</x:v>
      </x:c>
      <x:c r="C47" s="13" t="str">
        <x:v>11:20:16.97</x:v>
      </x:c>
      <x:c r="D47" s="13" t="str">
        <x:v>+13:35:22.9</x:v>
      </x:c>
      <x:c r="E47" s="13" t="str">
        <x:v>Leo</x:v>
      </x:c>
      <x:c r="F47" s="13" t="str">
        <x:v>Both hemispheres</x:v>
      </x:c>
      <x:c r="G47" s="13" t="str">
        <x:v>11.04 × 3.44</x:v>
      </x:c>
      <x:c r="H47" s="16" t="n">
        <x:v>11.04</x:v>
      </x:c>
      <x:c r="I47" s="16" t="n">
        <x:v>3.44</x:v>
      </x:c>
      <x:c r="J47" s="16" t="n">
        <x:v>9.45</x:v>
      </x:c>
      <x:c r="K47" s="13" t="str">
        <x:v>V</x:v>
      </x:c>
      <x:c r="L47" s="13" t="str">
        <x:v>Barred spiral (SBb)</x:v>
      </x:c>
      <x:c r="M47" s="13" t="str">
        <x:v>Weak</x:v>
      </x:c>
      <x:c r="N47" s="13" t="str">
        <x:v>Yes</x:v>
      </x:c>
      <x:c r="O47" s="13" t="str">
        <x:v>No</x:v>
      </x:c>
      <x:c r="P47" s="13" t="str">
        <x:v>Yes</x:v>
      </x:c>
      <x:c r="Q47" s="18" t="n">
        <x:v>2</x:v>
      </x:c>
      <x:c r="R47" s="18" t="n">
        <x:v>22</x:v>
      </x:c>
      <x:c r="S47" s="13" t="str">
        <x:v>Project-discussed target</x:v>
      </x:c>
      <x:c r="T47" s="13" t="str">
        <x:v>Mar 2025 DART; Mar 2026 CAP</x:v>
      </x:c>
      <x:c r="U47" s="13" t="str">
        <x:v>Edge-on and dusty; great galaxy, but not a clean Hα-knot target.</x:v>
      </x:c>
      <x:c r="V47" s="13" t="str">
        <x:v>https://github.com/mattiaverga/openngc</x:v>
      </x:c>
      <x:c r="W47" s="13" t="str">
        <x:v>https://github.com/mattiaverga/openngc</x:v>
      </x:c>
    </x:row>
    <x:row r="48">
      <x:c r="A48" s="13" t="str">
        <x:v>NGC 4567</x:v>
      </x:c>
      <x:c r="B48" s="13" t="str">
        <x:v>Siamese Twins / Butterfly Galaxies</x:v>
      </x:c>
      <x:c r="C48" s="13" t="str">
        <x:v>12:36:32.71</x:v>
      </x:c>
      <x:c r="D48" s="13" t="str">
        <x:v>+11:15:28.8</x:v>
      </x:c>
      <x:c r="E48" s="13" t="str">
        <x:v>Virgo</x:v>
      </x:c>
      <x:c r="F48" s="13" t="str">
        <x:v>Both hemispheres</x:v>
      </x:c>
      <x:c r="G48" s="13" t="str">
        <x:v>2.74 × 2.15</x:v>
      </x:c>
      <x:c r="H48" s="16" t="n">
        <x:v>2.74</x:v>
      </x:c>
      <x:c r="I48" s="16" t="n">
        <x:v>2.15</x:v>
      </x:c>
      <x:c r="J48" s="16" t="n">
        <x:v>11.32</x:v>
      </x:c>
      <x:c r="K48" s="13" t="str">
        <x:v>V</x:v>
      </x:c>
      <x:c r="L48" s="13" t="str">
        <x:v>Spiral (Sbc)</x:v>
      </x:c>
      <x:c r="M48" s="13" t="str">
        <x:v>Weak</x:v>
      </x:c>
      <x:c r="N48" s="13" t="str">
        <x:v>Weak</x:v>
      </x:c>
      <x:c r="O48" s="13" t="str">
        <x:v>No</x:v>
      </x:c>
      <x:c r="P48" s="13" t="str">
        <x:v>Yes</x:v>
      </x:c>
      <x:c r="Q48" s="18" t="n">
        <x:v>3</x:v>
      </x:c>
      <x:c r="R48" s="18" t="str"/>
      <x:c r="S48" s="13" t="str">
        <x:v>Project-discussed target</x:v>
      </x:c>
      <x:c r="T48" s="13" t="str">
        <x:v>Apr 2026 CAP</x:v>
      </x:c>
      <x:c r="U48" s="13" t="str">
        <x:v>Interacting spiral; Hα regions should exist, but small and data-hungry.</x:v>
      </x:c>
      <x:c r="V48" s="13" t="str">
        <x:v>https://github.com/mattiaverga/openngc</x:v>
      </x:c>
      <x:c r="W48" s="13" t="str">
        <x:v>https://github.com/mattiaverga/openngc</x:v>
      </x:c>
    </x:row>
    <x:row r="49">
      <x:c r="A49" s="13" t="str">
        <x:v>NGC 4568</x:v>
      </x:c>
      <x:c r="B49" s="13" t="str">
        <x:v>Siamese Twins / Butterfly Galaxies</x:v>
      </x:c>
      <x:c r="C49" s="13" t="str">
        <x:v>12:36:34.26</x:v>
      </x:c>
      <x:c r="D49" s="13" t="str">
        <x:v>+11:14:20.0</x:v>
      </x:c>
      <x:c r="E49" s="13" t="str">
        <x:v>Virgo</x:v>
      </x:c>
      <x:c r="F49" s="13" t="str">
        <x:v>Both hemispheres</x:v>
      </x:c>
      <x:c r="G49" s="13" t="str">
        <x:v>4.31 × 1.87</x:v>
      </x:c>
      <x:c r="H49" s="16" t="n">
        <x:v>4.31</x:v>
      </x:c>
      <x:c r="I49" s="16" t="n">
        <x:v>1.87</x:v>
      </x:c>
      <x:c r="J49" s="16" t="n">
        <x:v>10.8</x:v>
      </x:c>
      <x:c r="K49" s="13" t="str">
        <x:v>V</x:v>
      </x:c>
      <x:c r="L49" s="13" t="str">
        <x:v>Spiral (Sbc)</x:v>
      </x:c>
      <x:c r="M49" s="13" t="str">
        <x:v>Weak</x:v>
      </x:c>
      <x:c r="N49" s="13" t="str">
        <x:v>Weak</x:v>
      </x:c>
      <x:c r="O49" s="13" t="str">
        <x:v>No</x:v>
      </x:c>
      <x:c r="P49" s="13" t="str">
        <x:v>Yes</x:v>
      </x:c>
      <x:c r="Q49" s="18" t="n">
        <x:v>3</x:v>
      </x:c>
      <x:c r="R49" s="18" t="str"/>
      <x:c r="S49" s="13" t="str">
        <x:v>Project-discussed target</x:v>
      </x:c>
      <x:c r="T49" s="13" t="str">
        <x:v>Apr 2026 CAP</x:v>
      </x:c>
      <x:c r="U49" s="13" t="str">
        <x:v>Interacting spiral; Hα regions should exist, but small and data-hungry.</x:v>
      </x:c>
      <x:c r="V49" s="13" t="str">
        <x:v>https://github.com/mattiaverga/openngc</x:v>
      </x:c>
      <x:c r="W49" s="13" t="str">
        <x:v>https://github.com/mattiaverga/openngc</x:v>
      </x:c>
    </x:row>
    <x:row r="50">
      <x:c r="A50" s="13" t="str">
        <x:v>NGC 4631</x:v>
      </x:c>
      <x:c r="B50" s="13" t="str">
        <x:v>Whale Galaxy</x:v>
      </x:c>
      <x:c r="C50" s="13" t="str">
        <x:v>12:42:08.01</x:v>
      </x:c>
      <x:c r="D50" s="13" t="str">
        <x:v>+32:32:29.4</x:v>
      </x:c>
      <x:c r="E50" s="13" t="str">
        <x:v>Canes Venatici</x:v>
      </x:c>
      <x:c r="F50" s="13" t="str">
        <x:v>Both hemispheres</x:v>
      </x:c>
      <x:c r="G50" s="13" t="str">
        <x:v>14.45 × 2.20</x:v>
      </x:c>
      <x:c r="H50" s="16" t="n">
        <x:v>14.45</x:v>
      </x:c>
      <x:c r="I50" s="16" t="n">
        <x:v>2.2</x:v>
      </x:c>
      <x:c r="J50" s="16" t="n">
        <x:v>9.24</x:v>
      </x:c>
      <x:c r="K50" s="13" t="str">
        <x:v>V</x:v>
      </x:c>
      <x:c r="L50" s="13" t="str">
        <x:v>Barred spiral (SBcd)</x:v>
      </x:c>
      <x:c r="M50" s="13" t="str">
        <x:v>Yes</x:v>
      </x:c>
      <x:c r="N50" s="13" t="str">
        <x:v>Yes</x:v>
      </x:c>
      <x:c r="O50" s="13" t="str">
        <x:v>No</x:v>
      </x:c>
      <x:c r="P50" s="13" t="str">
        <x:v>Yes</x:v>
      </x:c>
      <x:c r="Q50" s="18" t="n">
        <x:v>4</x:v>
      </x:c>
      <x:c r="R50" s="18" t="n">
        <x:v>36</x:v>
      </x:c>
      <x:c r="S50" s="13" t="str">
        <x:v>Project-discussed target</x:v>
      </x:c>
      <x:c r="T50" s="13" t="str">
        <x:v>Apr 2026 CAP</x:v>
      </x:c>
      <x:c r="U50" s="13" t="str">
        <x:v>Edge-on galaxy with Hα/diffuse ionized gas and extraplanar emission.</x:v>
      </x:c>
      <x:c r="V50" s="13" t="str">
        <x:v>https://github.com/mattiaverga/openngc</x:v>
      </x:c>
      <x:c r="W50" s="13" t="str">
        <x:v>https://arxiv.org/abs/astro-ph/9904154</x:v>
      </x:c>
    </x:row>
    <x:row r="51">
      <x:c r="A51" s="13" t="str">
        <x:v>NGC 5033</x:v>
      </x:c>
      <x:c r="B51" s="13" t="str">
        <x:v>—</x:v>
      </x:c>
      <x:c r="C51" s="13" t="str">
        <x:v>13:13:27.47</x:v>
      </x:c>
      <x:c r="D51" s="13" t="str">
        <x:v>+36:35:38.2</x:v>
      </x:c>
      <x:c r="E51" s="13" t="str">
        <x:v>Canes Venatici</x:v>
      </x:c>
      <x:c r="F51" s="13" t="str">
        <x:v>Both hemispheres</x:v>
      </x:c>
      <x:c r="G51" s="13" t="str">
        <x:v>9.84 × 4.58</x:v>
      </x:c>
      <x:c r="H51" s="16" t="n">
        <x:v>9.84</x:v>
      </x:c>
      <x:c r="I51" s="16" t="n">
        <x:v>4.58</x:v>
      </x:c>
      <x:c r="J51" s="16" t="n">
        <x:v>10.68</x:v>
      </x:c>
      <x:c r="K51" s="13" t="str">
        <x:v>V</x:v>
      </x:c>
      <x:c r="L51" s="13" t="str">
        <x:v>Spiral (Sc)</x:v>
      </x:c>
      <x:c r="M51" s="13" t="str">
        <x:v>Weak</x:v>
      </x:c>
      <x:c r="N51" s="13" t="str">
        <x:v>Weak</x:v>
      </x:c>
      <x:c r="O51" s="13" t="str">
        <x:v>No</x:v>
      </x:c>
      <x:c r="P51" s="13" t="str">
        <x:v>Yes</x:v>
      </x:c>
      <x:c r="Q51" s="18" t="n">
        <x:v>3</x:v>
      </x:c>
      <x:c r="R51" s="18" t="str"/>
      <x:c r="S51" s="13" t="str">
        <x:v>Project-discussed target</x:v>
      </x:c>
      <x:c r="T51" s="13" t="str">
        <x:v>Apr 2026 CAP</x:v>
      </x:c>
      <x:c r="U51" s="13" t="str">
        <x:v>Spiral with star-forming arms, but less of an Hα showcase.</x:v>
      </x:c>
      <x:c r="V51" s="13" t="str">
        <x:v>https://github.com/mattiaverga/openngc</x:v>
      </x:c>
      <x:c r="W51" s="13" t="str">
        <x:v>https://github.com/mattiaverga/openngc</x:v>
      </x:c>
    </x:row>
    <x:row r="52">
      <x:c r="A52" s="13" t="str">
        <x:v>NGC 5128</x:v>
      </x:c>
      <x:c r="B52" s="13" t="str">
        <x:v>Centaurus A</x:v>
      </x:c>
      <x:c r="C52" s="13" t="str">
        <x:v>13:25:27.62</x:v>
      </x:c>
      <x:c r="D52" s="13" t="str">
        <x:v>-43:01:08.8</x:v>
      </x:c>
      <x:c r="E52" s="13" t="str">
        <x:v>Centaurus</x:v>
      </x:c>
      <x:c r="F52" s="13" t="str">
        <x:v>Both hemispheres</x:v>
      </x:c>
      <x:c r="G52" s="13" t="str">
        <x:v>25.88 × 19.77</x:v>
      </x:c>
      <x:c r="H52" s="16" t="n">
        <x:v>25.88</x:v>
      </x:c>
      <x:c r="I52" s="16" t="n">
        <x:v>19.77</x:v>
      </x:c>
      <x:c r="J52" s="16" t="n">
        <x:v>7.22</x:v>
      </x:c>
      <x:c r="K52" s="13" t="str">
        <x:v>V</x:v>
      </x:c>
      <x:c r="L52" s="13" t="str">
        <x:v>Lenticular (S0)</x:v>
      </x:c>
      <x:c r="M52" s="13" t="str">
        <x:v>Weak</x:v>
      </x:c>
      <x:c r="N52" s="13" t="str">
        <x:v>Yes</x:v>
      </x:c>
      <x:c r="O52" s="13" t="str">
        <x:v>Weak</x:v>
      </x:c>
      <x:c r="P52" s="13" t="str">
        <x:v>Very low/impractical</x:v>
      </x:c>
      <x:c r="Q52" s="18" t="n">
        <x:v>1</x:v>
      </x:c>
      <x:c r="R52" s="18" t="n">
        <x:v>6</x:v>
      </x:c>
      <x:c r="S52" s="13" t="str">
        <x:v>Project-discussed target</x:v>
      </x:c>
      <x:c r="T52" s="13" t="str">
        <x:v>Apr 2025 CAP; Apr 2026 CAP</x:v>
      </x:c>
      <x:c r="U52" s="13" t="str">
        <x:v>Has emission/dust/filament complexity, but essentially impractical from Hunterdon County/NJ.</x:v>
      </x:c>
      <x:c r="V52" s="13" t="str">
        <x:v>https://github.com/mattiaverga/openngc</x:v>
      </x:c>
      <x:c r="W52" s="13" t="str">
        <x:v>https://github.com/mattiaverga/openngc</x:v>
      </x:c>
    </x:row>
    <x:row r="53">
      <x:c r="A53" s="13" t="str">
        <x:v>NGC 6946</x:v>
      </x:c>
      <x:c r="B53" s="13" t="str">
        <x:v>Fireworks Galaxy</x:v>
      </x:c>
      <x:c r="C53" s="13" t="str">
        <x:v>20:34:52.32</x:v>
      </x:c>
      <x:c r="D53" s="13" t="str">
        <x:v>+60:09:14.1</x:v>
      </x:c>
      <x:c r="E53" s="13" t="str">
        <x:v>Cygnus</x:v>
      </x:c>
      <x:c r="F53" s="13" t="str">
        <x:v>North-favored</x:v>
      </x:c>
      <x:c r="G53" s="13" t="str">
        <x:v>11.40 × 10.84</x:v>
      </x:c>
      <x:c r="H53" s="16" t="n">
        <x:v>11.4</x:v>
      </x:c>
      <x:c r="I53" s="16" t="n">
        <x:v>10.84</x:v>
      </x:c>
      <x:c r="J53" s="16" t="n">
        <x:v>9.05</x:v>
      </x:c>
      <x:c r="K53" s="13" t="str">
        <x:v>V</x:v>
      </x:c>
      <x:c r="L53" s="13" t="str">
        <x:v>Intermediate barred spiral (SABc)</x:v>
      </x:c>
      <x:c r="M53" s="13" t="str">
        <x:v>Yes</x:v>
      </x:c>
      <x:c r="N53" s="13" t="str">
        <x:v>Weak</x:v>
      </x:c>
      <x:c r="O53" s="13" t="str">
        <x:v>Weak</x:v>
      </x:c>
      <x:c r="P53" s="13" t="str">
        <x:v>Yes</x:v>
      </x:c>
      <x:c r="Q53" s="18" t="n">
        <x:v>5</x:v>
      </x:c>
      <x:c r="R53" s="18" t="n">
        <x:v>49</x:v>
      </x:c>
      <x:c r="S53" s="13" t="str">
        <x:v>Project-discussed target</x:v>
      </x:c>
      <x:c r="T53" s="13" t="str">
        <x:v>Jun 2025 CAP</x:v>
      </x:c>
      <x:c r="U53" s="13" t="str">
        <x:v>Strong star-forming face-on spiral; excellent practical Hα-rich galaxy.</x:v>
      </x:c>
      <x:c r="V53" s="13" t="str">
        <x:v>https://github.com/mattiaverga/openngc</x:v>
      </x:c>
      <x:c r="W53" s="13" t="str">
        <x:v>https://arxiv.org/abs/astro-ph/0008437</x:v>
      </x:c>
    </x:row>
    <x:row r="54">
      <x:c r="A54" s="13" t="str">
        <x:v>NGC 7793</x:v>
      </x:c>
      <x:c r="B54" s="13" t="str">
        <x:v>—</x:v>
      </x:c>
      <x:c r="C54" s="13" t="str">
        <x:v>23:57:49.83</x:v>
      </x:c>
      <x:c r="D54" s="13" t="str">
        <x:v>-32:35:27.7</x:v>
      </x:c>
      <x:c r="E54" s="13" t="str">
        <x:v>Sculptor</x:v>
      </x:c>
      <x:c r="F54" s="13" t="str">
        <x:v>Both hemispheres</x:v>
      </x:c>
      <x:c r="G54" s="13" t="str">
        <x:v>10.42 × 6.05</x:v>
      </x:c>
      <x:c r="H54" s="16" t="n">
        <x:v>10.42</x:v>
      </x:c>
      <x:c r="I54" s="16" t="n">
        <x:v>6.05</x:v>
      </x:c>
      <x:c r="J54" s="16" t="n">
        <x:v>9.29</x:v>
      </x:c>
      <x:c r="K54" s="13" t="str">
        <x:v>V</x:v>
      </x:c>
      <x:c r="L54" s="13" t="str">
        <x:v>Spiral (Scd)</x:v>
      </x:c>
      <x:c r="M54" s="13" t="str">
        <x:v>Yes</x:v>
      </x:c>
      <x:c r="N54" s="13" t="str">
        <x:v>Weak</x:v>
      </x:c>
      <x:c r="O54" s="13" t="str">
        <x:v>No</x:v>
      </x:c>
      <x:c r="P54" s="13" t="str">
        <x:v>Low/southern</x:v>
      </x:c>
      <x:c r="Q54" s="18" t="n">
        <x:v>2</x:v>
      </x:c>
      <x:c r="R54" s="18" t="n">
        <x:v>98</x:v>
      </x:c>
      <x:c r="S54" s="13" t="str">
        <x:v>Project-discussed target</x:v>
      </x:c>
      <x:c r="T54" s="13" t="str">
        <x:v>Sep 2025 CAP</x:v>
      </x:c>
      <x:c r="U54" s="13" t="str">
        <x:v>Real H II/Hα target, but far south for NJ.</x:v>
      </x:c>
      <x:c r="V54" s="13" t="str">
        <x:v>https://github.com/mattiaverga/openngc</x:v>
      </x:c>
      <x:c r="W54" s="13" t="str">
        <x:v>https://arxiv.org/abs/1004.1549</x:v>
      </x:c>
    </x:row>
    <x:row r="55">
      <x:c r="A55" s="13" t="str">
        <x:v>NGC 253</x:v>
      </x:c>
      <x:c r="B55" s="13" t="str">
        <x:v>Sculptor Galaxy</x:v>
      </x:c>
      <x:c r="C55" s="13" t="str">
        <x:v>00:47:33.23</x:v>
      </x:c>
      <x:c r="D55" s="13" t="str">
        <x:v>-25:17:17.8</x:v>
      </x:c>
      <x:c r="E55" s="13" t="str">
        <x:v>Sculptor</x:v>
      </x:c>
      <x:c r="F55" s="13" t="str">
        <x:v>Both hemispheres</x:v>
      </x:c>
      <x:c r="G55" s="13" t="str">
        <x:v>42.26 × 11.83</x:v>
      </x:c>
      <x:c r="H55" s="16" t="n">
        <x:v>42.26</x:v>
      </x:c>
      <x:c r="I55" s="16" t="n">
        <x:v>11.83</x:v>
      </x:c>
      <x:c r="J55" s="16" t="n">
        <x:v>3.46</x:v>
      </x:c>
      <x:c r="K55" s="13" t="str">
        <x:v>W1 (3.4 μm)</x:v>
      </x:c>
      <x:c r="L55" s="13" t="str">
        <x:v>SABc (WXSC/RC3)</x:v>
      </x:c>
      <x:c r="M55" s="13" t="str">
        <x:v>Yes</x:v>
      </x:c>
      <x:c r="N55" s="13" t="str">
        <x:v>Yes</x:v>
      </x:c>
      <x:c r="O55" s="13" t="str">
        <x:v>Weak</x:v>
      </x:c>
      <x:c r="P55" s="13" t="str">
        <x:v>Low southern from NJ</x:v>
      </x:c>
      <x:c r="Q55" s="18" t="n">
        <x:v>5</x:v>
      </x:c>
      <x:c r="R55" s="18" t="n">
        <x:v>5</x:v>
      </x:c>
      <x:c r="S55" s="13" t="str">
        <x:v>WXSC-added next largest</x:v>
      </x:c>
      <x:c r="T55" s="13" t="str">
        <x:v>Next 50 largest apparent-size galaxies from WXSC, excluding the project-discussed list</x:v>
      </x:c>
      <x:c r="U55" s="13" t="str">
        <x:v>Large starburst spiral; strong Hα candidate and prominent dust lanes. Very low/southern from NJ.</x:v>
      </x:c>
      <x:c r="V55" s="13" t="str">
        <x:v>https://cdsarc.cds.unistra.fr/ftp/J/ApJS/245/25/table1.dat</x:v>
      </x:c>
      <x:c r="W55" s="13" t="str">
        <x:v>https://cdsarc.cds.unistra.fr/viz-bin/ReadMe/J/ApJS/245/25?format=html&amp;tex=true</x:v>
      </x:c>
    </x:row>
    <x:row r="56">
      <x:c r="A56" s="13" t="str">
        <x:v>NGC 4945</x:v>
      </x:c>
      <x:c r="B56" s="13" t="str">
        <x:v>—</x:v>
      </x:c>
      <x:c r="C56" s="13" t="str">
        <x:v>13:05:27.38</x:v>
      </x:c>
      <x:c r="D56" s="13" t="str">
        <x:v>-49:28:05.4</x:v>
      </x:c>
      <x:c r="E56" s="13" t="str">
        <x:v>Centaurus</x:v>
      </x:c>
      <x:c r="F56" s="13" t="str">
        <x:v>Both hemispheres</x:v>
      </x:c>
      <x:c r="G56" s="13" t="str">
        <x:v>25.96 × 9.61</x:v>
      </x:c>
      <x:c r="H56" s="16" t="n">
        <x:v>25.96</x:v>
      </x:c>
      <x:c r="I56" s="16" t="n">
        <x:v>9.61</x:v>
      </x:c>
      <x:c r="J56" s="16" t="n">
        <x:v>4.07</x:v>
      </x:c>
      <x:c r="K56" s="13" t="str">
        <x:v>W1 (3.4 μm)</x:v>
      </x:c>
      <x:c r="L56" s="13" t="str">
        <x:v>SBc (WXSC/RC3)</x:v>
      </x:c>
      <x:c r="M56" s="13" t="str">
        <x:v>Yes</x:v>
      </x:c>
      <x:c r="N56" s="13" t="str">
        <x:v>Yes</x:v>
      </x:c>
      <x:c r="O56" s="13" t="str">
        <x:v>Weak</x:v>
      </x:c>
      <x:c r="P56" s="13" t="str">
        <x:v>Very low from NJ</x:v>
      </x:c>
      <x:c r="Q56" s="18" t="n">
        <x:v>4</x:v>
      </x:c>
      <x:c r="R56" s="18" t="n">
        <x:v>10</x:v>
      </x:c>
      <x:c r="S56" s="13" t="str">
        <x:v>WXSC-added next largest</x:v>
      </x:c>
      <x:c r="T56" s="13" t="str">
        <x:v>Next 50 largest apparent-size galaxies from WXSC, excluding the project-discussed list</x:v>
      </x:c>
      <x:c r="U56" s="13" t="str">
        <x:v>Edge-on starburst galaxy with strong emission and dust; essentially a southern-travel target from NJ.</x:v>
      </x:c>
      <x:c r="V56" s="13" t="str">
        <x:v>https://cdsarc.cds.unistra.fr/ftp/J/ApJS/245/25/table1.dat</x:v>
      </x:c>
      <x:c r="W56" s="13" t="str">
        <x:v>https://cdsarc.cds.unistra.fr/viz-bin/ReadMe/J/ApJS/245/25?format=html&amp;tex=true</x:v>
      </x:c>
    </x:row>
    <x:row r="57">
      <x:c r="A57" s="13" t="str">
        <x:v>IC 342</x:v>
      </x:c>
      <x:c r="B57" s="13" t="str">
        <x:v>Hidden Galaxy</x:v>
      </x:c>
      <x:c r="C57" s="13" t="str">
        <x:v>03:46:48.35</x:v>
      </x:c>
      <x:c r="D57" s="13" t="str">
        <x:v>+68:05:46.9</x:v>
      </x:c>
      <x:c r="E57" s="13" t="str">
        <x:v>Camelopardalis</x:v>
      </x:c>
      <x:c r="F57" s="13" t="str">
        <x:v>North-favored</x:v>
      </x:c>
      <x:c r="G57" s="13" t="str">
        <x:v>25.96 × 24.66</x:v>
      </x:c>
      <x:c r="H57" s="16" t="n">
        <x:v>25.96</x:v>
      </x:c>
      <x:c r="I57" s="16" t="n">
        <x:v>24.66</x:v>
      </x:c>
      <x:c r="J57" s="16" t="n">
        <x:v>3.97</x:v>
      </x:c>
      <x:c r="K57" s="13" t="str">
        <x:v>W1 (3.4 μm)</x:v>
      </x:c>
      <x:c r="L57" s="13" t="str">
        <x:v>SABcd (WXSC/RC3)</x:v>
      </x:c>
      <x:c r="M57" s="13" t="str">
        <x:v>Yes</x:v>
      </x:c>
      <x:c r="N57" s="13" t="str">
        <x:v>Weak</x:v>
      </x:c>
      <x:c r="O57" s="13" t="str">
        <x:v>No</x:v>
      </x:c>
      <x:c r="P57" s="13" t="str">
        <x:v>Yes</x:v>
      </x:c>
      <x:c r="Q57" s="18" t="n">
        <x:v>4</x:v>
      </x:c>
      <x:c r="R57" s="18" t="n">
        <x:v>11</x:v>
      </x:c>
      <x:c r="S57" s="13" t="str">
        <x:v>WXSC-added next largest</x:v>
      </x:c>
      <x:c r="T57" s="13" t="str">
        <x:v>Next 50 largest apparent-size galaxies from WXSC, excluding the project-discussed list</x:v>
      </x:c>
      <x:c r="U57" s="13" t="str">
        <x:v>Large nearby spiral with star-forming regions; foreground Milky Way dust makes it lower contrast.</x:v>
      </x:c>
      <x:c r="V57" s="13" t="str">
        <x:v>https://cdsarc.cds.unistra.fr/ftp/J/ApJS/245/25/table1.dat</x:v>
      </x:c>
      <x:c r="W57" s="13" t="str">
        <x:v>https://cdsarc.cds.unistra.fr/viz-bin/ReadMe/J/ApJS/245/25?format=html&amp;tex=true</x:v>
      </x:c>
    </x:row>
    <x:row r="58">
      <x:c r="A58" s="13" t="str">
        <x:v>NGC 1316</x:v>
      </x:c>
      <x:c r="B58" s="13" t="str">
        <x:v>Fornax A</x:v>
      </x:c>
      <x:c r="C58" s="13" t="str">
        <x:v>03:22:41.71</x:v>
      </x:c>
      <x:c r="D58" s="13" t="str">
        <x:v>-37:12:28.7</x:v>
      </x:c>
      <x:c r="E58" s="13" t="str">
        <x:v>Fornax</x:v>
      </x:c>
      <x:c r="F58" s="13" t="str">
        <x:v>Both hemispheres</x:v>
      </x:c>
      <x:c r="G58" s="13" t="str">
        <x:v>25.64 × 16.41</x:v>
      </x:c>
      <x:c r="H58" s="16" t="n">
        <x:v>25.64</x:v>
      </x:c>
      <x:c r="I58" s="16" t="n">
        <x:v>16.41</x:v>
      </x:c>
      <x:c r="J58" s="16" t="n">
        <x:v>5.08</x:v>
      </x:c>
      <x:c r="K58" s="13" t="str">
        <x:v>W1 (3.4 μm)</x:v>
      </x:c>
      <x:c r="L58" s="13" t="str">
        <x:v>S0 (WXSC/RC3)</x:v>
      </x:c>
      <x:c r="M58" s="13" t="str">
        <x:v>Weak</x:v>
      </x:c>
      <x:c r="N58" s="13" t="str">
        <x:v>Yes</x:v>
      </x:c>
      <x:c r="O58" s="13" t="str">
        <x:v>Weak</x:v>
      </x:c>
      <x:c r="P58" s="13" t="str">
        <x:v>Low southern from NJ</x:v>
      </x:c>
      <x:c r="Q58" s="18" t="n">
        <x:v>2</x:v>
      </x:c>
      <x:c r="R58" s="18" t="n">
        <x:v>12</x:v>
      </x:c>
      <x:c r="S58" s="13" t="str">
        <x:v>WXSC-added next largest</x:v>
      </x:c>
      <x:c r="T58" s="13" t="str">
        <x:v>Next 50 largest apparent-size galaxies from WXSC, excluding the project-discussed list</x:v>
      </x:c>
      <x:c r="U58" s="13" t="str">
        <x:v>Peculiar lenticular/merger; dust is more visible than Hα regions. Very low from NJ.</x:v>
      </x:c>
      <x:c r="V58" s="13" t="str">
        <x:v>https://cdsarc.cds.unistra.fr/ftp/J/ApJS/245/25/table1.dat</x:v>
      </x:c>
      <x:c r="W58" s="13" t="str">
        <x:v>https://cdsarc.cds.unistra.fr/viz-bin/ReadMe/J/ApJS/245/25?format=html&amp;tex=true</x:v>
      </x:c>
    </x:row>
    <x:row r="59">
      <x:c r="A59" s="13" t="str">
        <x:v>Maffei 1</x:v>
      </x:c>
      <x:c r="B59" s="13" t="str">
        <x:v>—</x:v>
      </x:c>
      <x:c r="C59" s="13" t="str">
        <x:v>02:36:35.47</x:v>
      </x:c>
      <x:c r="D59" s="13" t="str">
        <x:v>+59:39:17.5</x:v>
      </x:c>
      <x:c r="E59" s="13" t="str">
        <x:v>Cassiopeia</x:v>
      </x:c>
      <x:c r="F59" s="13" t="str">
        <x:v>North-favored</x:v>
      </x:c>
      <x:c r="G59" s="13" t="str">
        <x:v>23.08 × 17.77</x:v>
      </x:c>
      <x:c r="H59" s="16" t="n">
        <x:v>23.08</x:v>
      </x:c>
      <x:c r="I59" s="16" t="n">
        <x:v>17.77</x:v>
      </x:c>
      <x:c r="J59" s="16" t="n">
        <x:v>3.94</x:v>
      </x:c>
      <x:c r="K59" s="13" t="str">
        <x:v>W1 (3.4 μm)</x:v>
      </x:c>
      <x:c r="L59" s="13" t="str">
        <x:v>E-S0 (WXSC/RC3)</x:v>
      </x:c>
      <x:c r="M59" s="13" t="str">
        <x:v>No</x:v>
      </x:c>
      <x:c r="N59" s="13" t="str">
        <x:v>No</x:v>
      </x:c>
      <x:c r="O59" s="13" t="str">
        <x:v>No</x:v>
      </x:c>
      <x:c r="P59" s="13" t="str">
        <x:v>Yes</x:v>
      </x:c>
      <x:c r="Q59" s="18" t="n">
        <x:v>1</x:v>
      </x:c>
      <x:c r="R59" s="18" t="n">
        <x:v>15</x:v>
      </x:c>
      <x:c r="S59" s="13" t="str">
        <x:v>WXSC-added next largest</x:v>
      </x:c>
      <x:c r="T59" s="13" t="str">
        <x:v>Next 50 largest apparent-size galaxies from WXSC, excluding the project-discussed list</x:v>
      </x:c>
      <x:c r="U59" s="13" t="str">
        <x:v>Heavily obscured elliptical/lenticular; not an emission-line target.</x:v>
      </x:c>
      <x:c r="V59" s="13" t="str">
        <x:v>https://cdsarc.cds.unistra.fr/ftp/J/ApJS/245/25/table1.dat</x:v>
      </x:c>
      <x:c r="W59" s="13" t="str">
        <x:v>https://cdsarc.cds.unistra.fr/viz-bin/ReadMe/J/ApJS/245/25?format=html&amp;tex=true</x:v>
      </x:c>
    </x:row>
    <x:row r="60">
      <x:c r="A60" s="13" t="str">
        <x:v>M110 / NGC 205</x:v>
      </x:c>
      <x:c r="B60" s="13" t="str">
        <x:v>Andromeda companion</x:v>
      </x:c>
      <x:c r="C60" s="13" t="str">
        <x:v>00:40:22.07</x:v>
      </x:c>
      <x:c r="D60" s="13" t="str">
        <x:v>+41:41:07.7</x:v>
      </x:c>
      <x:c r="E60" s="13" t="str">
        <x:v>Andromeda</x:v>
      </x:c>
      <x:c r="F60" s="13" t="str">
        <x:v>Both hemispheres</x:v>
      </x:c>
      <x:c r="G60" s="13" t="str">
        <x:v>22.72 × 11.36</x:v>
      </x:c>
      <x:c r="H60" s="16" t="n">
        <x:v>22.72</x:v>
      </x:c>
      <x:c r="I60" s="16" t="n">
        <x:v>11.36</x:v>
      </x:c>
      <x:c r="J60" s="16" t="n">
        <x:v>5.32</x:v>
      </x:c>
      <x:c r="K60" s="13" t="str">
        <x:v>W1 (3.4 μm)</x:v>
      </x:c>
      <x:c r="L60" s="13" t="str">
        <x:v>E (WXSC/RC3)</x:v>
      </x:c>
      <x:c r="M60" s="13" t="str">
        <x:v>No</x:v>
      </x:c>
      <x:c r="N60" s="13" t="str">
        <x:v>No</x:v>
      </x:c>
      <x:c r="O60" s="13" t="str">
        <x:v>No</x:v>
      </x:c>
      <x:c r="P60" s="13" t="str">
        <x:v>Yes</x:v>
      </x:c>
      <x:c r="Q60" s="18" t="n">
        <x:v>1</x:v>
      </x:c>
      <x:c r="R60" s="18" t="n">
        <x:v>16</x:v>
      </x:c>
      <x:c r="S60" s="13" t="str">
        <x:v>WXSC-added next largest</x:v>
      </x:c>
      <x:c r="T60" s="13" t="str">
        <x:v>Next 50 largest apparent-size galaxies from WXSC, excluding the project-discussed list</x:v>
      </x:c>
      <x:c r="U60" s="13" t="str">
        <x:v>Dwarf elliptical companion of M31; not a visible Hα-region target.</x:v>
      </x:c>
      <x:c r="V60" s="13" t="str">
        <x:v>https://cdsarc.cds.unistra.fr/ftp/J/ApJS/245/25/table1.dat</x:v>
      </x:c>
      <x:c r="W60" s="13" t="str">
        <x:v>https://cdsarc.cds.unistra.fr/viz-bin/ReadMe/J/ApJS/245/25?format=html&amp;tex=true</x:v>
      </x:c>
    </x:row>
    <x:row r="61">
      <x:c r="A61" s="13" t="str">
        <x:v>NGC 2403</x:v>
      </x:c>
      <x:c r="B61" s="13" t="str">
        <x:v>Caldwell 7</x:v>
      </x:c>
      <x:c r="C61" s="13" t="str">
        <x:v>07:36:50.12</x:v>
      </x:c>
      <x:c r="D61" s="13" t="str">
        <x:v>+65:36:03.7</x:v>
      </x:c>
      <x:c r="E61" s="13" t="str">
        <x:v>Camelopardalis</x:v>
      </x:c>
      <x:c r="F61" s="13" t="str">
        <x:v>North-favored</x:v>
      </x:c>
      <x:c r="G61" s="13" t="str">
        <x:v>21.88 × 11.60</x:v>
      </x:c>
      <x:c r="H61" s="16" t="n">
        <x:v>21.88</x:v>
      </x:c>
      <x:c r="I61" s="16" t="n">
        <x:v>11.6</x:v>
      </x:c>
      <x:c r="J61" s="16" t="n">
        <x:v>5.69</x:v>
      </x:c>
      <x:c r="K61" s="13" t="str">
        <x:v>W1 (3.4 μm)</x:v>
      </x:c>
      <x:c r="L61" s="13" t="str">
        <x:v>SABc (WXSC/RC3)</x:v>
      </x:c>
      <x:c r="M61" s="13" t="str">
        <x:v>Yes</x:v>
      </x:c>
      <x:c r="N61" s="13" t="str">
        <x:v>Weak</x:v>
      </x:c>
      <x:c r="O61" s="13" t="str">
        <x:v>No</x:v>
      </x:c>
      <x:c r="P61" s="13" t="str">
        <x:v>Yes</x:v>
      </x:c>
      <x:c r="Q61" s="18" t="n">
        <x:v>5</x:v>
      </x:c>
      <x:c r="R61" s="18" t="n">
        <x:v>18</x:v>
      </x:c>
      <x:c r="S61" s="13" t="str">
        <x:v>WXSC-added next largest</x:v>
      </x:c>
      <x:c r="T61" s="13" t="str">
        <x:v>Next 50 largest apparent-size galaxies from WXSC, excluding the project-discussed list</x:v>
      </x:c>
      <x:c r="U61" s="13" t="str">
        <x:v>Excellent large northern star-forming spiral; comparable in feel to M33 but smaller.</x:v>
      </x:c>
      <x:c r="V61" s="13" t="str">
        <x:v>https://cdsarc.cds.unistra.fr/ftp/J/ApJS/245/25/table1.dat</x:v>
      </x:c>
      <x:c r="W61" s="13" t="str">
        <x:v>https://cdsarc.cds.unistra.fr/viz-bin/ReadMe/J/ApJS/245/25?format=html&amp;tex=true</x:v>
      </x:c>
    </x:row>
    <x:row r="62">
      <x:c r="A62" s="13" t="str">
        <x:v>NGC 247</x:v>
      </x:c>
      <x:c r="B62" s="13" t="str">
        <x:v>Caldwell 62</x:v>
      </x:c>
      <x:c r="C62" s="13" t="str">
        <x:v>00:47:08.47</x:v>
      </x:c>
      <x:c r="D62" s="13" t="str">
        <x:v>-20:45:37.3</x:v>
      </x:c>
      <x:c r="E62" s="13" t="str">
        <x:v>Cetus</x:v>
      </x:c>
      <x:c r="F62" s="13" t="str">
        <x:v>Both hemispheres</x:v>
      </x:c>
      <x:c r="G62" s="13" t="str">
        <x:v>21.80 × 6.54</x:v>
      </x:c>
      <x:c r="H62" s="16" t="n">
        <x:v>21.8</x:v>
      </x:c>
      <x:c r="I62" s="16" t="n">
        <x:v>6.54</x:v>
      </x:c>
      <x:c r="J62" s="16" t="n">
        <x:v>6.49</x:v>
      </x:c>
      <x:c r="K62" s="13" t="str">
        <x:v>W1 (3.4 μm)</x:v>
      </x:c>
      <x:c r="L62" s="13" t="str">
        <x:v>SABc (WXSC/RC3)</x:v>
      </x:c>
      <x:c r="M62" s="13" t="str">
        <x:v>Weak</x:v>
      </x:c>
      <x:c r="N62" s="13" t="str">
        <x:v>Weak</x:v>
      </x:c>
      <x:c r="O62" s="13" t="str">
        <x:v>No</x:v>
      </x:c>
      <x:c r="P62" s="13" t="str">
        <x:v>Yes</x:v>
      </x:c>
      <x:c r="Q62" s="18" t="n">
        <x:v>3</x:v>
      </x:c>
      <x:c r="R62" s="18" t="n">
        <x:v>19</x:v>
      </x:c>
      <x:c r="S62" s="13" t="str">
        <x:v>WXSC-added next largest</x:v>
      </x:c>
      <x:c r="T62" s="13" t="str">
        <x:v>Next 50 largest apparent-size galaxies from WXSC, excluding the project-discussed list</x:v>
      </x:c>
      <x:c r="U62" s="13" t="str">
        <x:v>Large low-surface-brightness spiral; Hα and dust are real but subtle.</x:v>
      </x:c>
      <x:c r="V62" s="13" t="str">
        <x:v>https://cdsarc.cds.unistra.fr/ftp/J/ApJS/245/25/table1.dat</x:v>
      </x:c>
      <x:c r="W62" s="13" t="str">
        <x:v>https://cdsarc.cds.unistra.fr/viz-bin/ReadMe/J/ApJS/245/25?format=html&amp;tex=true</x:v>
      </x:c>
    </x:row>
    <x:row r="63">
      <x:c r="A63" s="13" t="str">
        <x:v>NGC 300</x:v>
      </x:c>
      <x:c r="B63" s="13" t="str">
        <x:v>Sculptor Pinwheel Galaxy</x:v>
      </x:c>
      <x:c r="C63" s="13" t="str">
        <x:v>00:54:53.40</x:v>
      </x:c>
      <x:c r="D63" s="13" t="str">
        <x:v>-37:41:02.9</x:v>
      </x:c>
      <x:c r="E63" s="13" t="str">
        <x:v>Sculptor</x:v>
      </x:c>
      <x:c r="F63" s="13" t="str">
        <x:v>Both hemispheres</x:v>
      </x:c>
      <x:c r="G63" s="13" t="str">
        <x:v>20.06 × 15.45</x:v>
      </x:c>
      <x:c r="H63" s="16" t="n">
        <x:v>20.06</x:v>
      </x:c>
      <x:c r="I63" s="16" t="n">
        <x:v>15.45</x:v>
      </x:c>
      <x:c r="J63" s="16" t="n">
        <x:v>5.73</x:v>
      </x:c>
      <x:c r="K63" s="13" t="str">
        <x:v>W1 (3.4 μm)</x:v>
      </x:c>
      <x:c r="L63" s="13" t="str">
        <x:v>Scd (WXSC/RC3)</x:v>
      </x:c>
      <x:c r="M63" s="13" t="str">
        <x:v>Yes</x:v>
      </x:c>
      <x:c r="N63" s="13" t="str">
        <x:v>Weak</x:v>
      </x:c>
      <x:c r="O63" s="13" t="str">
        <x:v>No</x:v>
      </x:c>
      <x:c r="P63" s="13" t="str">
        <x:v>Low southern from NJ</x:v>
      </x:c>
      <x:c r="Q63" s="18" t="n">
        <x:v>4</x:v>
      </x:c>
      <x:c r="R63" s="18" t="n">
        <x:v>23</x:v>
      </x:c>
      <x:c r="S63" s="13" t="str">
        <x:v>WXSC-added next largest</x:v>
      </x:c>
      <x:c r="T63" s="13" t="str">
        <x:v>Next 50 largest apparent-size galaxies from WXSC, excluding the project-discussed list</x:v>
      </x:c>
      <x:c r="U63" s="13" t="str">
        <x:v>Large nearby star-forming spiral; very low from NJ.</x:v>
      </x:c>
      <x:c r="V63" s="13" t="str">
        <x:v>https://cdsarc.cds.unistra.fr/ftp/J/ApJS/245/25/table1.dat</x:v>
      </x:c>
      <x:c r="W63" s="13" t="str">
        <x:v>https://cdsarc.cds.unistra.fr/viz-bin/ReadMe/J/ApJS/245/25?format=html&amp;tex=true</x:v>
      </x:c>
    </x:row>
    <x:row r="64">
      <x:c r="A64" s="13" t="str">
        <x:v>NGC 6822</x:v>
      </x:c>
      <x:c r="B64" s="13" t="str">
        <x:v>Barnard's Galaxy</x:v>
      </x:c>
      <x:c r="C64" s="13" t="str">
        <x:v>19:44:57.88</x:v>
      </x:c>
      <x:c r="D64" s="13" t="str">
        <x:v>-14:48:08.1</x:v>
      </x:c>
      <x:c r="E64" s="13" t="str">
        <x:v>Sagittarius</x:v>
      </x:c>
      <x:c r="F64" s="13" t="str">
        <x:v>Both hemispheres</x:v>
      </x:c>
      <x:c r="G64" s="13" t="str">
        <x:v>19.06 × 15.63</x:v>
      </x:c>
      <x:c r="H64" s="16" t="n">
        <x:v>19.06</x:v>
      </x:c>
      <x:c r="I64" s="16" t="n">
        <x:v>15.63</x:v>
      </x:c>
      <x:c r="J64" s="16" t="n">
        <x:v>5.8</x:v>
      </x:c>
      <x:c r="K64" s="13" t="str">
        <x:v>W1 (3.4 μm)</x:v>
      </x:c>
      <x:c r="L64" s="13" t="str">
        <x:v>IBm (WXSC/RC3)</x:v>
      </x:c>
      <x:c r="M64" s="13" t="str">
        <x:v>Yes</x:v>
      </x:c>
      <x:c r="N64" s="13" t="str">
        <x:v>Weak</x:v>
      </x:c>
      <x:c r="O64" s="13" t="str">
        <x:v>Weak</x:v>
      </x:c>
      <x:c r="P64" s="13" t="str">
        <x:v>Yes</x:v>
      </x:c>
      <x:c r="Q64" s="18" t="n">
        <x:v>3</x:v>
      </x:c>
      <x:c r="R64" s="18" t="n">
        <x:v>25</x:v>
      </x:c>
      <x:c r="S64" s="13" t="str">
        <x:v>WXSC-added next largest</x:v>
      </x:c>
      <x:c r="T64" s="13" t="str">
        <x:v>Next 50 largest apparent-size galaxies from WXSC, excluding the project-discussed list</x:v>
      </x:c>
      <x:c r="U64" s="13" t="str">
        <x:v>Dwarf irregular with H II regions; low surface brightness and southern altitude make it harder.</x:v>
      </x:c>
      <x:c r="V64" s="13" t="str">
        <x:v>https://cdsarc.cds.unistra.fr/ftp/J/ApJS/245/25/table1.dat</x:v>
      </x:c>
      <x:c r="W64" s="13" t="str">
        <x:v>https://cdsarc.cds.unistra.fr/viz-bin/ReadMe/J/ApJS/245/25?format=html&amp;tex=true</x:v>
      </x:c>
    </x:row>
    <x:row r="65">
      <x:c r="A65" s="13" t="str">
        <x:v>NGC 1532</x:v>
      </x:c>
      <x:c r="B65" s="13" t="str">
        <x:v>—</x:v>
      </x:c>
      <x:c r="C65" s="13" t="str">
        <x:v>04:12:04.34</x:v>
      </x:c>
      <x:c r="D65" s="13" t="str">
        <x:v>-32:52:27.2</x:v>
      </x:c>
      <x:c r="E65" s="13" t="str">
        <x:v>Eridanus</x:v>
      </x:c>
      <x:c r="F65" s="13" t="str">
        <x:v>Both hemispheres</x:v>
      </x:c>
      <x:c r="G65" s="13" t="str">
        <x:v>18.88 × 4.53</x:v>
      </x:c>
      <x:c r="H65" s="16" t="n">
        <x:v>18.88</x:v>
      </x:c>
      <x:c r="I65" s="16" t="n">
        <x:v>4.53</x:v>
      </x:c>
      <x:c r="J65" s="16" t="n">
        <x:v>6.43</x:v>
      </x:c>
      <x:c r="K65" s="13" t="str">
        <x:v>W1 (3.4 μm)</x:v>
      </x:c>
      <x:c r="L65" s="13" t="str">
        <x:v>SBb (WXSC/RC3)</x:v>
      </x:c>
      <x:c r="M65" s="13" t="str">
        <x:v>Weak</x:v>
      </x:c>
      <x:c r="N65" s="13" t="str">
        <x:v>Yes</x:v>
      </x:c>
      <x:c r="O65" s="13" t="str">
        <x:v>No</x:v>
      </x:c>
      <x:c r="P65" s="13" t="str">
        <x:v>Low southern from NJ</x:v>
      </x:c>
      <x:c r="Q65" s="18" t="n">
        <x:v>2</x:v>
      </x:c>
      <x:c r="R65" s="18" t="n">
        <x:v>26</x:v>
      </x:c>
      <x:c r="S65" s="13" t="str">
        <x:v>WXSC-added next largest</x:v>
      </x:c>
      <x:c r="T65" s="13" t="str">
        <x:v>Next 50 largest apparent-size galaxies from WXSC, excluding the project-discussed list</x:v>
      </x:c>
      <x:c r="U65" s="13" t="str">
        <x:v>Large edge-on barred spiral; dust lanes are more likely than visible Hα knots from NJ.</x:v>
      </x:c>
      <x:c r="V65" s="13" t="str">
        <x:v>https://cdsarc.cds.unistra.fr/ftp/J/ApJS/245/25/table1.dat</x:v>
      </x:c>
      <x:c r="W65" s="13" t="str">
        <x:v>https://cdsarc.cds.unistra.fr/viz-bin/ReadMe/J/ApJS/245/25?format=html&amp;tex=true</x:v>
      </x:c>
    </x:row>
    <x:row r="66">
      <x:c r="A66" s="13" t="str">
        <x:v>NGC 147</x:v>
      </x:c>
      <x:c r="B66" s="13" t="str">
        <x:v>M31 companion</x:v>
      </x:c>
      <x:c r="C66" s="13" t="str">
        <x:v>00:33:12.12</x:v>
      </x:c>
      <x:c r="D66" s="13" t="str">
        <x:v>+48:30:32.4</x:v>
      </x:c>
      <x:c r="E66" s="13" t="str">
        <x:v>Cassiopeia</x:v>
      </x:c>
      <x:c r="F66" s="13" t="str">
        <x:v>Both hemispheres</x:v>
      </x:c>
      <x:c r="G66" s="13" t="str">
        <x:v>18.56 × 10.58</x:v>
      </x:c>
      <x:c r="H66" s="16" t="n">
        <x:v>18.56</x:v>
      </x:c>
      <x:c r="I66" s="16" t="n">
        <x:v>10.58</x:v>
      </x:c>
      <x:c r="J66" s="16" t="n">
        <x:v>6.57</x:v>
      </x:c>
      <x:c r="K66" s="13" t="str">
        <x:v>W1 (3.4 μm)</x:v>
      </x:c>
      <x:c r="L66" s="13" t="str">
        <x:v>E (WXSC/RC3)</x:v>
      </x:c>
      <x:c r="M66" s="13" t="str">
        <x:v>No</x:v>
      </x:c>
      <x:c r="N66" s="13" t="str">
        <x:v>No</x:v>
      </x:c>
      <x:c r="O66" s="13" t="str">
        <x:v>No</x:v>
      </x:c>
      <x:c r="P66" s="13" t="str">
        <x:v>Yes</x:v>
      </x:c>
      <x:c r="Q66" s="18" t="n">
        <x:v>1</x:v>
      </x:c>
      <x:c r="R66" s="18" t="n">
        <x:v>28</x:v>
      </x:c>
      <x:c r="S66" s="13" t="str">
        <x:v>WXSC-added next largest</x:v>
      </x:c>
      <x:c r="T66" s="13" t="str">
        <x:v>Next 50 largest apparent-size galaxies from WXSC, excluding the project-discussed list</x:v>
      </x:c>
      <x:c r="U66" s="13" t="str">
        <x:v>Dwarf elliptical companion of M31; not a visible Hα/dust target.</x:v>
      </x:c>
      <x:c r="V66" s="13" t="str">
        <x:v>https://cdsarc.cds.unistra.fr/ftp/J/ApJS/245/25/table1.dat</x:v>
      </x:c>
      <x:c r="W66" s="13" t="str">
        <x:v>https://cdsarc.cds.unistra.fr/viz-bin/ReadMe/J/ApJS/245/25?format=html&amp;tex=true</x:v>
      </x:c>
    </x:row>
    <x:row r="67">
      <x:c r="A67" s="13" t="str">
        <x:v>NGC 6744</x:v>
      </x:c>
      <x:c r="B67" s="13" t="str">
        <x:v>Great Peacock Spiral</x:v>
      </x:c>
      <x:c r="C67" s="13" t="str">
        <x:v>19:09:46.11</x:v>
      </x:c>
      <x:c r="D67" s="13" t="str">
        <x:v>-63:51:27.0</x:v>
      </x:c>
      <x:c r="E67" s="13" t="str">
        <x:v>Pavo</x:v>
      </x:c>
      <x:c r="F67" s="13" t="str">
        <x:v>South-favored</x:v>
      </x:c>
      <x:c r="G67" s="13" t="str">
        <x:v>18.28 × 12.80</x:v>
      </x:c>
      <x:c r="H67" s="16" t="n">
        <x:v>18.28</x:v>
      </x:c>
      <x:c r="I67" s="16" t="n">
        <x:v>12.8</x:v>
      </x:c>
      <x:c r="J67" s="16" t="n">
        <x:v>5.49</x:v>
      </x:c>
      <x:c r="K67" s="13" t="str">
        <x:v>W1 (3.4 μm)</x:v>
      </x:c>
      <x:c r="L67" s="13" t="str">
        <x:v>Sbc (WXSC/RC3)</x:v>
      </x:c>
      <x:c r="M67" s="13" t="str">
        <x:v>Yes</x:v>
      </x:c>
      <x:c r="N67" s="13" t="str">
        <x:v>Yes</x:v>
      </x:c>
      <x:c r="O67" s="13" t="str">
        <x:v>No</x:v>
      </x:c>
      <x:c r="P67" s="13" t="str">
        <x:v>No / southern-travel target</x:v>
      </x:c>
      <x:c r="Q67" s="18" t="n">
        <x:v>4</x:v>
      </x:c>
      <x:c r="R67" s="18" t="n">
        <x:v>29</x:v>
      </x:c>
      <x:c r="S67" s="13" t="str">
        <x:v>WXSC-added next largest</x:v>
      </x:c>
      <x:c r="T67" s="13" t="str">
        <x:v>Next 50 largest apparent-size galaxies from WXSC, excluding the project-discussed list</x:v>
      </x:c>
      <x:c r="U67" s="13" t="str">
        <x:v>Large Milky-Way-like spiral with star-forming arms; southern-travel target.</x:v>
      </x:c>
      <x:c r="V67" s="13" t="str">
        <x:v>https://cdsarc.cds.unistra.fr/ftp/J/ApJS/245/25/table1.dat</x:v>
      </x:c>
      <x:c r="W67" s="13" t="str">
        <x:v>https://cdsarc.cds.unistra.fr/viz-bin/ReadMe/J/ApJS/245/25?format=html&amp;tex=true</x:v>
      </x:c>
    </x:row>
    <x:row r="68">
      <x:c r="A68" s="13" t="str">
        <x:v>NGC 1553</x:v>
      </x:c>
      <x:c r="B68" s="13" t="str">
        <x:v>—</x:v>
      </x:c>
      <x:c r="C68" s="13" t="str">
        <x:v>04:16:10.47</x:v>
      </x:c>
      <x:c r="D68" s="13" t="str">
        <x:v>-55:46:48.1</x:v>
      </x:c>
      <x:c r="E68" s="13" t="str">
        <x:v>Dorado</x:v>
      </x:c>
      <x:c r="F68" s="13" t="str">
        <x:v>South-favored</x:v>
      </x:c>
      <x:c r="G68" s="13" t="str">
        <x:v>17.40 × 13.75</x:v>
      </x:c>
      <x:c r="H68" s="16" t="n">
        <x:v>17.4</x:v>
      </x:c>
      <x:c r="I68" s="16" t="n">
        <x:v>13.75</x:v>
      </x:c>
      <x:c r="J68" s="16" t="n">
        <x:v>5.89</x:v>
      </x:c>
      <x:c r="K68" s="13" t="str">
        <x:v>W1 (3.4 μm)</x:v>
      </x:c>
      <x:c r="L68" s="13" t="str">
        <x:v>S0 (WXSC/RC3)</x:v>
      </x:c>
      <x:c r="M68" s="13" t="str">
        <x:v>No</x:v>
      </x:c>
      <x:c r="N68" s="13" t="str">
        <x:v>Weak</x:v>
      </x:c>
      <x:c r="O68" s="13" t="str">
        <x:v>No</x:v>
      </x:c>
      <x:c r="P68" s="13" t="str">
        <x:v>No / southern-travel target</x:v>
      </x:c>
      <x:c r="Q68" s="18" t="n">
        <x:v>1</x:v>
      </x:c>
      <x:c r="R68" s="18" t="n">
        <x:v>31</x:v>
      </x:c>
      <x:c r="S68" s="13" t="str">
        <x:v>WXSC-added next largest</x:v>
      </x:c>
      <x:c r="T68" s="13" t="str">
        <x:v>Next 50 largest apparent-size galaxies from WXSC, excluding the project-discussed list</x:v>
      </x:c>
      <x:c r="U68" s="13" t="str">
        <x:v>Lenticular galaxy; dust/features may show, but Hα regions are not the main attraction.</x:v>
      </x:c>
      <x:c r="V68" s="13" t="str">
        <x:v>https://cdsarc.cds.unistra.fr/ftp/J/ApJS/245/25/table1.dat</x:v>
      </x:c>
      <x:c r="W68" s="13" t="str">
        <x:v>https://cdsarc.cds.unistra.fr/viz-bin/ReadMe/J/ApJS/245/25?format=html&amp;tex=true</x:v>
      </x:c>
    </x:row>
    <x:row r="69">
      <x:c r="A69" s="13" t="str">
        <x:v>NGC 1399</x:v>
      </x:c>
      <x:c r="B69" s="13" t="str">
        <x:v>—</x:v>
      </x:c>
      <x:c r="C69" s="13" t="str">
        <x:v>03:38:29.02</x:v>
      </x:c>
      <x:c r="D69" s="13" t="str">
        <x:v>-35:27:01.4</x:v>
      </x:c>
      <x:c r="E69" s="13" t="str">
        <x:v>Fornax</x:v>
      </x:c>
      <x:c r="F69" s="13" t="str">
        <x:v>Both hemispheres</x:v>
      </x:c>
      <x:c r="G69" s="13" t="str">
        <x:v>17.32 × 14.72</x:v>
      </x:c>
      <x:c r="H69" s="16" t="n">
        <x:v>17.32</x:v>
      </x:c>
      <x:c r="I69" s="16" t="n">
        <x:v>14.72</x:v>
      </x:c>
      <x:c r="J69" s="16" t="n">
        <x:v>5.82</x:v>
      </x:c>
      <x:c r="K69" s="13" t="str">
        <x:v>W1 (3.4 μm)</x:v>
      </x:c>
      <x:c r="L69" s="13" t="str">
        <x:v>E1pec (WXSC/RC3)</x:v>
      </x:c>
      <x:c r="M69" s="13" t="str">
        <x:v>No</x:v>
      </x:c>
      <x:c r="N69" s="13" t="str">
        <x:v>No</x:v>
      </x:c>
      <x:c r="O69" s="13" t="str">
        <x:v>No</x:v>
      </x:c>
      <x:c r="P69" s="13" t="str">
        <x:v>Low southern from NJ</x:v>
      </x:c>
      <x:c r="Q69" s="18" t="n">
        <x:v>1</x:v>
      </x:c>
      <x:c r="R69" s="18" t="n">
        <x:v>32</x:v>
      </x:c>
      <x:c r="S69" s="13" t="str">
        <x:v>WXSC-added next largest</x:v>
      </x:c>
      <x:c r="T69" s="13" t="str">
        <x:v>Next 50 largest apparent-size galaxies from WXSC, excluding the project-discussed list</x:v>
      </x:c>
      <x:c r="U69" s="13" t="str">
        <x:v>Giant elliptical in Fornax; not an Hα or dust-lane target.</x:v>
      </x:c>
      <x:c r="V69" s="13" t="str">
        <x:v>https://cdsarc.cds.unistra.fr/ftp/J/ApJS/245/25/table1.dat</x:v>
      </x:c>
      <x:c r="W69" s="13" t="str">
        <x:v>https://cdsarc.cds.unistra.fr/viz-bin/ReadMe/J/ApJS/245/25?format=html&amp;tex=true</x:v>
      </x:c>
    </x:row>
    <x:row r="70">
      <x:c r="A70" s="13" t="str">
        <x:v>NGC 4236</x:v>
      </x:c>
      <x:c r="B70" s="13" t="str">
        <x:v>Caldwell 3</x:v>
      </x:c>
      <x:c r="C70" s="13" t="str">
        <x:v>12:16:41.94</x:v>
      </x:c>
      <x:c r="D70" s="13" t="str">
        <x:v>+69:28:03.3</x:v>
      </x:c>
      <x:c r="E70" s="13" t="str">
        <x:v>Draco</x:v>
      </x:c>
      <x:c r="F70" s="13" t="str">
        <x:v>North-favored</x:v>
      </x:c>
      <x:c r="G70" s="13" t="str">
        <x:v>17.32 × 5.20</x:v>
      </x:c>
      <x:c r="H70" s="16" t="n">
        <x:v>17.32</x:v>
      </x:c>
      <x:c r="I70" s="16" t="n">
        <x:v>5.2</x:v>
      </x:c>
      <x:c r="J70" s="16" t="n">
        <x:v>7.91</x:v>
      </x:c>
      <x:c r="K70" s="13" t="str">
        <x:v>W1 (3.4 μm)</x:v>
      </x:c>
      <x:c r="L70" s="13" t="str">
        <x:v>SBdm (WXSC/RC3)</x:v>
      </x:c>
      <x:c r="M70" s="13" t="str">
        <x:v>Weak</x:v>
      </x:c>
      <x:c r="N70" s="13" t="str">
        <x:v>Weak</x:v>
      </x:c>
      <x:c r="O70" s="13" t="str">
        <x:v>No</x:v>
      </x:c>
      <x:c r="P70" s="13" t="str">
        <x:v>Yes</x:v>
      </x:c>
      <x:c r="Q70" s="18" t="n">
        <x:v>3</x:v>
      </x:c>
      <x:c r="R70" s="18" t="n">
        <x:v>33</x:v>
      </x:c>
      <x:c r="S70" s="13" t="str">
        <x:v>WXSC-added next largest</x:v>
      </x:c>
      <x:c r="T70" s="13" t="str">
        <x:v>Next 50 largest apparent-size galaxies from WXSC, excluding the project-discussed list</x:v>
      </x:c>
      <x:c r="U70" s="13" t="str">
        <x:v>Large diffuse barred spiral; worthwhile for size, but emission/contrast are subtle.</x:v>
      </x:c>
      <x:c r="V70" s="13" t="str">
        <x:v>https://cdsarc.cds.unistra.fr/ftp/J/ApJS/245/25/table1.dat</x:v>
      </x:c>
      <x:c r="W70" s="13" t="str">
        <x:v>https://cdsarc.cds.unistra.fr/viz-bin/ReadMe/J/ApJS/245/25?format=html&amp;tex=true</x:v>
      </x:c>
    </x:row>
    <x:row r="71">
      <x:c r="A71" s="13" t="str">
        <x:v>NGC 4565</x:v>
      </x:c>
      <x:c r="B71" s="13" t="str">
        <x:v>Needle Galaxy</x:v>
      </x:c>
      <x:c r="C71" s="13" t="str">
        <x:v>12:36:20.78</x:v>
      </x:c>
      <x:c r="D71" s="13" t="str">
        <x:v>+25:59:15.2</x:v>
      </x:c>
      <x:c r="E71" s="13" t="str">
        <x:v>Coma Berenices</x:v>
      </x:c>
      <x:c r="F71" s="13" t="str">
        <x:v>Both hemispheres</x:v>
      </x:c>
      <x:c r="G71" s="13" t="str">
        <x:v>17.08 × 3.25</x:v>
      </x:c>
      <x:c r="H71" s="16" t="n">
        <x:v>17.08</x:v>
      </x:c>
      <x:c r="I71" s="16" t="n">
        <x:v>3.25</x:v>
      </x:c>
      <x:c r="J71" s="16" t="n">
        <x:v>5.76</x:v>
      </x:c>
      <x:c r="K71" s="13" t="str">
        <x:v>W1 (3.4 μm)</x:v>
      </x:c>
      <x:c r="L71" s="13" t="str">
        <x:v>Sb (WXSC/RC3)</x:v>
      </x:c>
      <x:c r="M71" s="13" t="str">
        <x:v>Weak</x:v>
      </x:c>
      <x:c r="N71" s="13" t="str">
        <x:v>Yes</x:v>
      </x:c>
      <x:c r="O71" s="13" t="str">
        <x:v>No</x:v>
      </x:c>
      <x:c r="P71" s="13" t="str">
        <x:v>Yes</x:v>
      </x:c>
      <x:c r="Q71" s="18" t="n">
        <x:v>3</x:v>
      </x:c>
      <x:c r="R71" s="18" t="n">
        <x:v>34</x:v>
      </x:c>
      <x:c r="S71" s="13" t="str">
        <x:v>WXSC-added next largest</x:v>
      </x:c>
      <x:c r="T71" s="13" t="str">
        <x:v>Next 50 largest apparent-size galaxies from WXSC, excluding the project-discussed list</x:v>
      </x:c>
      <x:c r="U71" s="13" t="str">
        <x:v>Classic edge-on dust-lane galaxy; dust is the main feature, not Hα.</x:v>
      </x:c>
      <x:c r="V71" s="13" t="str">
        <x:v>https://cdsarc.cds.unistra.fr/ftp/J/ApJS/245/25/table1.dat</x:v>
      </x:c>
      <x:c r="W71" s="13" t="str">
        <x:v>https://cdsarc.cds.unistra.fr/viz-bin/ReadMe/J/ApJS/245/25?format=html&amp;tex=true</x:v>
      </x:c>
    </x:row>
    <x:row r="72">
      <x:c r="A72" s="13" t="str">
        <x:v>Maffei 2</x:v>
      </x:c>
      <x:c r="B72" s="13" t="str">
        <x:v>—</x:v>
      </x:c>
      <x:c r="C72" s="13" t="str">
        <x:v>02:41:55.02</x:v>
      </x:c>
      <x:c r="D72" s="13" t="str">
        <x:v>+59:36:15.2</x:v>
      </x:c>
      <x:c r="E72" s="13" t="str">
        <x:v>Cassiopeia</x:v>
      </x:c>
      <x:c r="F72" s="13" t="str">
        <x:v>North-favored</x:v>
      </x:c>
      <x:c r="G72" s="13" t="str">
        <x:v>17.00 × 7.48</x:v>
      </x:c>
      <x:c r="H72" s="16" t="n">
        <x:v>17</x:v>
      </x:c>
      <x:c r="I72" s="16" t="n">
        <x:v>7.48</x:v>
      </x:c>
      <x:c r="J72" s="16" t="n">
        <x:v>4.76</x:v>
      </x:c>
      <x:c r="K72" s="13" t="str">
        <x:v>W1 (3.4 μm)</x:v>
      </x:c>
      <x:c r="L72" s="13" t="str">
        <x:v>Sbc (WXSC/RC3)</x:v>
      </x:c>
      <x:c r="M72" s="13" t="str">
        <x:v>Weak</x:v>
      </x:c>
      <x:c r="N72" s="13" t="str">
        <x:v>Weak</x:v>
      </x:c>
      <x:c r="O72" s="13" t="str">
        <x:v>No</x:v>
      </x:c>
      <x:c r="P72" s="13" t="str">
        <x:v>Yes</x:v>
      </x:c>
      <x:c r="Q72" s="18" t="n">
        <x:v>2</x:v>
      </x:c>
      <x:c r="R72" s="18" t="n">
        <x:v>35</x:v>
      </x:c>
      <x:c r="S72" s="13" t="str">
        <x:v>WXSC-added next largest</x:v>
      </x:c>
      <x:c r="T72" s="13" t="str">
        <x:v>Next 50 largest apparent-size galaxies from WXSC, excluding the project-discussed list</x:v>
      </x:c>
      <x:c r="U72" s="13" t="str">
        <x:v>Obscured barred spiral; foreground extinction makes it tricky despite real star formation.</x:v>
      </x:c>
      <x:c r="V72" s="13" t="str">
        <x:v>https://cdsarc.cds.unistra.fr/ftp/J/ApJS/245/25/table1.dat</x:v>
      </x:c>
      <x:c r="W72" s="13" t="str">
        <x:v>https://cdsarc.cds.unistra.fr/viz-bin/ReadMe/J/ApJS/245/25?format=html&amp;tex=true</x:v>
      </x:c>
    </x:row>
    <x:row r="73">
      <x:c r="A73" s="13" t="str">
        <x:v>NGC 4636</x:v>
      </x:c>
      <x:c r="B73" s="13" t="str">
        <x:v>—</x:v>
      </x:c>
      <x:c r="C73" s="13" t="str">
        <x:v>12:42:49.85</x:v>
      </x:c>
      <x:c r="D73" s="13" t="str">
        <x:v>+02:41:16.0</x:v>
      </x:c>
      <x:c r="E73" s="13" t="str">
        <x:v>Virgo</x:v>
      </x:c>
      <x:c r="F73" s="13" t="str">
        <x:v>Both hemispheres</x:v>
      </x:c>
      <x:c r="G73" s="13" t="str">
        <x:v>16.12 × 10.96</x:v>
      </x:c>
      <x:c r="H73" s="16" t="n">
        <x:v>16.12</x:v>
      </x:c>
      <x:c r="I73" s="16" t="n">
        <x:v>10.96</x:v>
      </x:c>
      <x:c r="J73" s="16" t="n">
        <x:v>6.07</x:v>
      </x:c>
      <x:c r="K73" s="13" t="str">
        <x:v>W1 (3.4 μm)</x:v>
      </x:c>
      <x:c r="L73" s="13" t="str">
        <x:v>E (WXSC/RC3)</x:v>
      </x:c>
      <x:c r="M73" s="13" t="str">
        <x:v>No</x:v>
      </x:c>
      <x:c r="N73" s="13" t="str">
        <x:v>No</x:v>
      </x:c>
      <x:c r="O73" s="13" t="str">
        <x:v>No</x:v>
      </x:c>
      <x:c r="P73" s="13" t="str">
        <x:v>Yes</x:v>
      </x:c>
      <x:c r="Q73" s="18" t="n">
        <x:v>1</x:v>
      </x:c>
      <x:c r="R73" s="18" t="n">
        <x:v>38</x:v>
      </x:c>
      <x:c r="S73" s="13" t="str">
        <x:v>WXSC-added next largest</x:v>
      </x:c>
      <x:c r="T73" s="13" t="str">
        <x:v>Next 50 largest apparent-size galaxies from WXSC, excluding the project-discussed list</x:v>
      </x:c>
      <x:c r="U73" s="13" t="str">
        <x:v>Elliptical Virgo galaxy; poor Hα/dust target.</x:v>
      </x:c>
      <x:c r="V73" s="13" t="str">
        <x:v>https://cdsarc.cds.unistra.fr/ftp/J/ApJS/245/25/table1.dat</x:v>
      </x:c>
      <x:c r="W73" s="13" t="str">
        <x:v>https://cdsarc.cds.unistra.fr/viz-bin/ReadMe/J/ApJS/245/25?format=html&amp;tex=true</x:v>
      </x:c>
    </x:row>
    <x:row r="74">
      <x:c r="A74" s="13" t="str">
        <x:v>NGC 2768</x:v>
      </x:c>
      <x:c r="B74" s="13" t="str">
        <x:v>—</x:v>
      </x:c>
      <x:c r="C74" s="13" t="str">
        <x:v>09:11:37.46</x:v>
      </x:c>
      <x:c r="D74" s="13" t="str">
        <x:v>+60:02:15.2</x:v>
      </x:c>
      <x:c r="E74" s="13" t="str">
        <x:v>Ursa Major</x:v>
      </x:c>
      <x:c r="F74" s="13" t="str">
        <x:v>North-favored</x:v>
      </x:c>
      <x:c r="G74" s="13" t="str">
        <x:v>15.96 × 5.11</x:v>
      </x:c>
      <x:c r="H74" s="16" t="n">
        <x:v>15.96</x:v>
      </x:c>
      <x:c r="I74" s="16" t="n">
        <x:v>5.11</x:v>
      </x:c>
      <x:c r="J74" s="16" t="n">
        <x:v>6.76</x:v>
      </x:c>
      <x:c r="K74" s="13" t="str">
        <x:v>W1 (3.4 μm)</x:v>
      </x:c>
      <x:c r="L74" s="13" t="str">
        <x:v>E (WXSC/RC3)</x:v>
      </x:c>
      <x:c r="M74" s="13" t="str">
        <x:v>No</x:v>
      </x:c>
      <x:c r="N74" s="13" t="str">
        <x:v>Weak</x:v>
      </x:c>
      <x:c r="O74" s="13" t="str">
        <x:v>No</x:v>
      </x:c>
      <x:c r="P74" s="13" t="str">
        <x:v>Yes</x:v>
      </x:c>
      <x:c r="Q74" s="18" t="n">
        <x:v>1</x:v>
      </x:c>
      <x:c r="R74" s="18" t="n">
        <x:v>39</x:v>
      </x:c>
      <x:c r="S74" s="13" t="str">
        <x:v>WXSC-added next largest</x:v>
      </x:c>
      <x:c r="T74" s="13" t="str">
        <x:v>Next 50 largest apparent-size galaxies from WXSC, excluding the project-discussed list</x:v>
      </x:c>
      <x:c r="U74" s="13" t="str">
        <x:v>Early-type galaxy with possible subtle dust; not an Hα target.</x:v>
      </x:c>
      <x:c r="V74" s="13" t="str">
        <x:v>https://cdsarc.cds.unistra.fr/ftp/J/ApJS/245/25/table1.dat</x:v>
      </x:c>
      <x:c r="W74" s="13" t="str">
        <x:v>https://cdsarc.cds.unistra.fr/viz-bin/ReadMe/J/ApJS/245/25?format=html&amp;tex=true</x:v>
      </x:c>
    </x:row>
    <x:row r="75">
      <x:c r="A75" s="13" t="str">
        <x:v>NGC 3585</x:v>
      </x:c>
      <x:c r="B75" s="13" t="str">
        <x:v>—</x:v>
      </x:c>
      <x:c r="C75" s="13" t="str">
        <x:v>11:13:17.08</x:v>
      </x:c>
      <x:c r="D75" s="13" t="str">
        <x:v>-26:45:17.2</x:v>
      </x:c>
      <x:c r="E75" s="13" t="str">
        <x:v>Hydra</x:v>
      </x:c>
      <x:c r="F75" s="13" t="str">
        <x:v>Both hemispheres</x:v>
      </x:c>
      <x:c r="G75" s="13" t="str">
        <x:v>15.88 × 9.05</x:v>
      </x:c>
      <x:c r="H75" s="16" t="n">
        <x:v>15.88</x:v>
      </x:c>
      <x:c r="I75" s="16" t="n">
        <x:v>9.05</x:v>
      </x:c>
      <x:c r="J75" s="16" t="n">
        <x:v>6.28</x:v>
      </x:c>
      <x:c r="K75" s="13" t="str">
        <x:v>W1 (3.4 μm)</x:v>
      </x:c>
      <x:c r="L75" s="13" t="str">
        <x:v>E (WXSC/RC3)</x:v>
      </x:c>
      <x:c r="M75" s="13" t="str">
        <x:v>No</x:v>
      </x:c>
      <x:c r="N75" s="13" t="str">
        <x:v>No</x:v>
      </x:c>
      <x:c r="O75" s="13" t="str">
        <x:v>No</x:v>
      </x:c>
      <x:c r="P75" s="13" t="str">
        <x:v>Low southern from NJ</x:v>
      </x:c>
      <x:c r="Q75" s="18" t="n">
        <x:v>1</x:v>
      </x:c>
      <x:c r="R75" s="18" t="n">
        <x:v>40</x:v>
      </x:c>
      <x:c r="S75" s="13" t="str">
        <x:v>WXSC-added next largest</x:v>
      </x:c>
      <x:c r="T75" s="13" t="str">
        <x:v>Next 50 largest apparent-size galaxies from WXSC, excluding the project-discussed list</x:v>
      </x:c>
      <x:c r="U75" s="13" t="str">
        <x:v>Elliptical; not an Hα/dust target.</x:v>
      </x:c>
      <x:c r="V75" s="13" t="str">
        <x:v>https://cdsarc.cds.unistra.fr/ftp/J/ApJS/245/25/table1.dat</x:v>
      </x:c>
      <x:c r="W75" s="13" t="str">
        <x:v>https://cdsarc.cds.unistra.fr/viz-bin/ReadMe/J/ApJS/245/25?format=html&amp;tex=true</x:v>
      </x:c>
    </x:row>
    <x:row r="76">
      <x:c r="A76" s="13" t="str">
        <x:v>ESO 270-G017</x:v>
      </x:c>
      <x:c r="B76" s="13" t="str">
        <x:v>Fourcade-Figueroa Galaxy</x:v>
      </x:c>
      <x:c r="C76" s="13" t="str">
        <x:v>13:34:49.40</x:v>
      </x:c>
      <x:c r="D76" s="13" t="str">
        <x:v>-45:32:57.1</x:v>
      </x:c>
      <x:c r="E76" s="13" t="str">
        <x:v>Centaurus</x:v>
      </x:c>
      <x:c r="F76" s="13" t="str">
        <x:v>Both hemispheres</x:v>
      </x:c>
      <x:c r="G76" s="13" t="str">
        <x:v>15.88 × 2.86</x:v>
      </x:c>
      <x:c r="H76" s="16" t="n">
        <x:v>15.88</x:v>
      </x:c>
      <x:c r="I76" s="16" t="n">
        <x:v>2.86</x:v>
      </x:c>
      <x:c r="J76" s="16" t="n">
        <x:v>8.55</x:v>
      </x:c>
      <x:c r="K76" s="13" t="str">
        <x:v>W1 (3.4 μm)</x:v>
      </x:c>
      <x:c r="L76" s="13" t="str">
        <x:v>SBm (WXSC/RC3)</x:v>
      </x:c>
      <x:c r="M76" s="13" t="str">
        <x:v>Weak</x:v>
      </x:c>
      <x:c r="N76" s="13" t="str">
        <x:v>Yes</x:v>
      </x:c>
      <x:c r="O76" s="13" t="str">
        <x:v>No</x:v>
      </x:c>
      <x:c r="P76" s="13" t="str">
        <x:v>Very low from NJ</x:v>
      </x:c>
      <x:c r="Q76" s="18" t="n">
        <x:v>2</x:v>
      </x:c>
      <x:c r="R76" s="18" t="n">
        <x:v>41</x:v>
      </x:c>
      <x:c r="S76" s="13" t="str">
        <x:v>WXSC-added next largest</x:v>
      </x:c>
      <x:c r="T76" s="13" t="str">
        <x:v>Next 50 largest apparent-size galaxies from WXSC, excluding the project-discussed list</x:v>
      </x:c>
      <x:c r="U76" s="13" t="str">
        <x:v>Edge-on Magellanic-type galaxy; southern-travel target from NJ.</x:v>
      </x:c>
      <x:c r="V76" s="13" t="str">
        <x:v>https://cdsarc.cds.unistra.fr/ftp/J/ApJS/245/25/table1.dat</x:v>
      </x:c>
      <x:c r="W76" s="13" t="str">
        <x:v>https://cdsarc.cds.unistra.fr/viz-bin/ReadMe/J/ApJS/245/25?format=html&amp;tex=true</x:v>
      </x:c>
    </x:row>
    <x:row r="77">
      <x:c r="A77" s="13" t="str">
        <x:v>NGC 3115</x:v>
      </x:c>
      <x:c r="B77" s="13" t="str">
        <x:v>Spindle Galaxy</x:v>
      </x:c>
      <x:c r="C77" s="13" t="str">
        <x:v>10:05:13.92</x:v>
      </x:c>
      <x:c r="D77" s="13" t="str">
        <x:v>-07:43:07.3</x:v>
      </x:c>
      <x:c r="E77" s="13" t="str">
        <x:v>Sextans</x:v>
      </x:c>
      <x:c r="F77" s="13" t="str">
        <x:v>Both hemispheres</x:v>
      </x:c>
      <x:c r="G77" s="13" t="str">
        <x:v>15.38 × 8.61</x:v>
      </x:c>
      <x:c r="H77" s="16" t="n">
        <x:v>15.38</x:v>
      </x:c>
      <x:c r="I77" s="16" t="n">
        <x:v>8.61</x:v>
      </x:c>
      <x:c r="J77" s="16" t="n">
        <x:v>5.59</x:v>
      </x:c>
      <x:c r="K77" s="13" t="str">
        <x:v>W1 (3.4 μm)</x:v>
      </x:c>
      <x:c r="L77" s="13" t="str">
        <x:v>E-S0 (WXSC/RC3)</x:v>
      </x:c>
      <x:c r="M77" s="13" t="str">
        <x:v>No</x:v>
      </x:c>
      <x:c r="N77" s="13" t="str">
        <x:v>Weak</x:v>
      </x:c>
      <x:c r="O77" s="13" t="str">
        <x:v>No</x:v>
      </x:c>
      <x:c r="P77" s="13" t="str">
        <x:v>Yes</x:v>
      </x:c>
      <x:c r="Q77" s="18" t="n">
        <x:v>1</x:v>
      </x:c>
      <x:c r="R77" s="18" t="n">
        <x:v>43</x:v>
      </x:c>
      <x:c r="S77" s="13" t="str">
        <x:v>WXSC-added next largest</x:v>
      </x:c>
      <x:c r="T77" s="13" t="str">
        <x:v>Next 50 largest apparent-size galaxies from WXSC, excluding the project-discussed list</x:v>
      </x:c>
      <x:c r="U77" s="13" t="str">
        <x:v>Lenticular galaxy; nice shape, weak dust at most, not Hα-rich.</x:v>
      </x:c>
      <x:c r="V77" s="13" t="str">
        <x:v>https://cdsarc.cds.unistra.fr/ftp/J/ApJS/245/25/table1.dat</x:v>
      </x:c>
      <x:c r="W77" s="13" t="str">
        <x:v>https://cdsarc.cds.unistra.fr/viz-bin/ReadMe/J/ApJS/245/25?format=html&amp;tex=true</x:v>
      </x:c>
    </x:row>
    <x:row r="78">
      <x:c r="A78" s="13" t="str">
        <x:v>NGC 3923</x:v>
      </x:c>
      <x:c r="B78" s="13" t="str">
        <x:v>—</x:v>
      </x:c>
      <x:c r="C78" s="13" t="str">
        <x:v>11:51:01.69</x:v>
      </x:c>
      <x:c r="D78" s="13" t="str">
        <x:v>-28:48:21.8</x:v>
      </x:c>
      <x:c r="E78" s="13" t="str">
        <x:v>Hydra</x:v>
      </x:c>
      <x:c r="F78" s="13" t="str">
        <x:v>Both hemispheres</x:v>
      </x:c>
      <x:c r="G78" s="13" t="str">
        <x:v>15.32 × 13.48</x:v>
      </x:c>
      <x:c r="H78" s="16" t="n">
        <x:v>15.32</x:v>
      </x:c>
      <x:c r="I78" s="16" t="n">
        <x:v>13.48</x:v>
      </x:c>
      <x:c r="J78" s="16" t="n">
        <x:v>5.98</x:v>
      </x:c>
      <x:c r="K78" s="13" t="str">
        <x:v>W1 (3.4 μm)</x:v>
      </x:c>
      <x:c r="L78" s="13" t="str">
        <x:v>E (WXSC/RC3)</x:v>
      </x:c>
      <x:c r="M78" s="13" t="str">
        <x:v>No</x:v>
      </x:c>
      <x:c r="N78" s="13" t="str">
        <x:v>No</x:v>
      </x:c>
      <x:c r="O78" s="13" t="str">
        <x:v>No</x:v>
      </x:c>
      <x:c r="P78" s="13" t="str">
        <x:v>Low southern from NJ</x:v>
      </x:c>
      <x:c r="Q78" s="18" t="n">
        <x:v>1</x:v>
      </x:c>
      <x:c r="R78" s="18" t="n">
        <x:v>44</x:v>
      </x:c>
      <x:c r="S78" s="13" t="str">
        <x:v>WXSC-added next largest</x:v>
      </x:c>
      <x:c r="T78" s="13" t="str">
        <x:v>Next 50 largest apparent-size galaxies from WXSC, excluding the project-discussed list</x:v>
      </x:c>
      <x:c r="U78" s="13" t="str">
        <x:v>Elliptical shell galaxy; not an Hα/dust target.</x:v>
      </x:c>
      <x:c r="V78" s="13" t="str">
        <x:v>https://cdsarc.cds.unistra.fr/ftp/J/ApJS/245/25/table1.dat</x:v>
      </x:c>
      <x:c r="W78" s="13" t="str">
        <x:v>https://cdsarc.cds.unistra.fr/viz-bin/ReadMe/J/ApJS/245/25?format=html&amp;tex=true</x:v>
      </x:c>
    </x:row>
    <x:row r="79">
      <x:c r="A79" s="13" t="str">
        <x:v>NGC 4365</x:v>
      </x:c>
      <x:c r="B79" s="13" t="str">
        <x:v>—</x:v>
      </x:c>
      <x:c r="C79" s="13" t="str">
        <x:v>12:24:28.27</x:v>
      </x:c>
      <x:c r="D79" s="13" t="str">
        <x:v>+07:19:03.9</x:v>
      </x:c>
      <x:c r="E79" s="13" t="str">
        <x:v>Virgo</x:v>
      </x:c>
      <x:c r="F79" s="13" t="str">
        <x:v>Both hemispheres</x:v>
      </x:c>
      <x:c r="G79" s="13" t="str">
        <x:v>15.06 × 10.24</x:v>
      </x:c>
      <x:c r="H79" s="16" t="n">
        <x:v>15.06</x:v>
      </x:c>
      <x:c r="I79" s="16" t="n">
        <x:v>10.24</x:v>
      </x:c>
      <x:c r="J79" s="16" t="n">
        <x:v>6.27</x:v>
      </x:c>
      <x:c r="K79" s="13" t="str">
        <x:v>W1 (3.4 μm)</x:v>
      </x:c>
      <x:c r="L79" s="13" t="str">
        <x:v>E (WXSC/RC3)</x:v>
      </x:c>
      <x:c r="M79" s="13" t="str">
        <x:v>No</x:v>
      </x:c>
      <x:c r="N79" s="13" t="str">
        <x:v>No</x:v>
      </x:c>
      <x:c r="O79" s="13" t="str">
        <x:v>No</x:v>
      </x:c>
      <x:c r="P79" s="13" t="str">
        <x:v>Yes</x:v>
      </x:c>
      <x:c r="Q79" s="18" t="n">
        <x:v>1</x:v>
      </x:c>
      <x:c r="R79" s="18" t="n">
        <x:v>45</x:v>
      </x:c>
      <x:c r="S79" s="13" t="str">
        <x:v>WXSC-added next largest</x:v>
      </x:c>
      <x:c r="T79" s="13" t="str">
        <x:v>Next 50 largest apparent-size galaxies from WXSC, excluding the project-discussed list</x:v>
      </x:c>
      <x:c r="U79" s="13" t="str">
        <x:v>Elliptical Virgo galaxy; poor Hα/dust target.</x:v>
      </x:c>
      <x:c r="V79" s="13" t="str">
        <x:v>https://cdsarc.cds.unistra.fr/ftp/J/ApJS/245/25/table1.dat</x:v>
      </x:c>
      <x:c r="W79" s="13" t="str">
        <x:v>https://cdsarc.cds.unistra.fr/viz-bin/ReadMe/J/ApJS/245/25?format=html&amp;tex=true</x:v>
      </x:c>
    </x:row>
    <x:row r="80">
      <x:c r="A80" s="13" t="str">
        <x:v>NGC 1313</x:v>
      </x:c>
      <x:c r="B80" s="13" t="str">
        <x:v>Topsy Turvy Galaxy</x:v>
      </x:c>
      <x:c r="C80" s="13" t="str">
        <x:v>03:18:16.05</x:v>
      </x:c>
      <x:c r="D80" s="13" t="str">
        <x:v>-66:29:52.7</x:v>
      </x:c>
      <x:c r="E80" s="13" t="str">
        <x:v>Reticulum</x:v>
      </x:c>
      <x:c r="F80" s="13" t="str">
        <x:v>South-favored</x:v>
      </x:c>
      <x:c r="G80" s="13" t="str">
        <x:v>14.94 × 9.41</x:v>
      </x:c>
      <x:c r="H80" s="16" t="n">
        <x:v>14.94</x:v>
      </x:c>
      <x:c r="I80" s="16" t="n">
        <x:v>9.41</x:v>
      </x:c>
      <x:c r="J80" s="16" t="n">
        <x:v>6.71</x:v>
      </x:c>
      <x:c r="K80" s="13" t="str">
        <x:v>W1 (3.4 μm)</x:v>
      </x:c>
      <x:c r="L80" s="13" t="str">
        <x:v>SBcd (WXSC/RC3)</x:v>
      </x:c>
      <x:c r="M80" s="13" t="str">
        <x:v>Yes</x:v>
      </x:c>
      <x:c r="N80" s="13" t="str">
        <x:v>Weak</x:v>
      </x:c>
      <x:c r="O80" s="13" t="str">
        <x:v>Weak</x:v>
      </x:c>
      <x:c r="P80" s="13" t="str">
        <x:v>No / southern-travel target</x:v>
      </x:c>
      <x:c r="Q80" s="18" t="n">
        <x:v>4</x:v>
      </x:c>
      <x:c r="R80" s="18" t="n">
        <x:v>46</x:v>
      </x:c>
      <x:c r="S80" s="13" t="str">
        <x:v>WXSC-added next largest</x:v>
      </x:c>
      <x:c r="T80" s="13" t="str">
        <x:v>Next 50 largest apparent-size galaxies from WXSC, excluding the project-discussed list</x:v>
      </x:c>
      <x:c r="U80" s="13" t="str">
        <x:v>Irregular star-forming galaxy with visible H II regions; southern-travel target.</x:v>
      </x:c>
      <x:c r="V80" s="13" t="str">
        <x:v>https://cdsarc.cds.unistra.fr/ftp/J/ApJS/245/25/table1.dat</x:v>
      </x:c>
      <x:c r="W80" s="13" t="str">
        <x:v>https://cdsarc.cds.unistra.fr/viz-bin/ReadMe/J/ApJS/245/25?format=html&amp;tex=true</x:v>
      </x:c>
    </x:row>
    <x:row r="81">
      <x:c r="A81" s="13" t="str">
        <x:v>NGC 185</x:v>
      </x:c>
      <x:c r="B81" s="13" t="str">
        <x:v>M31 companion</x:v>
      </x:c>
      <x:c r="C81" s="13" t="str">
        <x:v>00:38:57.67</x:v>
      </x:c>
      <x:c r="D81" s="13" t="str">
        <x:v>+48:20:16.6</x:v>
      </x:c>
      <x:c r="E81" s="13" t="str">
        <x:v>Cassiopeia</x:v>
      </x:c>
      <x:c r="F81" s="13" t="str">
        <x:v>Both hemispheres</x:v>
      </x:c>
      <x:c r="G81" s="13" t="str">
        <x:v>14.90 × 11.03</x:v>
      </x:c>
      <x:c r="H81" s="16" t="n">
        <x:v>14.9</x:v>
      </x:c>
      <x:c r="I81" s="16" t="n">
        <x:v>11.03</x:v>
      </x:c>
      <x:c r="J81" s="16" t="n">
        <x:v>6.23</x:v>
      </x:c>
      <x:c r="K81" s="13" t="str">
        <x:v>W1 (3.4 μm)</x:v>
      </x:c>
      <x:c r="L81" s="13" t="str">
        <x:v>E (WXSC/RC3)</x:v>
      </x:c>
      <x:c r="M81" s="13" t="str">
        <x:v>Weak</x:v>
      </x:c>
      <x:c r="N81" s="13" t="str">
        <x:v>Weak</x:v>
      </x:c>
      <x:c r="O81" s="13" t="str">
        <x:v>No</x:v>
      </x:c>
      <x:c r="P81" s="13" t="str">
        <x:v>Yes</x:v>
      </x:c>
      <x:c r="Q81" s="18" t="n">
        <x:v>2</x:v>
      </x:c>
      <x:c r="R81" s="18" t="n">
        <x:v>48</x:v>
      </x:c>
      <x:c r="S81" s="13" t="str">
        <x:v>WXSC-added next largest</x:v>
      </x:c>
      <x:c r="T81" s="13" t="str">
        <x:v>Next 50 largest apparent-size galaxies from WXSC, excluding the project-discussed list</x:v>
      </x:c>
      <x:c r="U81" s="13" t="str">
        <x:v>Dwarf elliptical with some dust/young material, but not a strong Hα target.</x:v>
      </x:c>
      <x:c r="V81" s="13" t="str">
        <x:v>https://cdsarc.cds.unistra.fr/ftp/J/ApJS/245/25/table1.dat</x:v>
      </x:c>
      <x:c r="W81" s="13" t="str">
        <x:v>https://cdsarc.cds.unistra.fr/viz-bin/ReadMe/J/ApJS/245/25?format=html&amp;tex=true</x:v>
      </x:c>
    </x:row>
    <x:row r="82">
      <x:c r="A82" s="13" t="str">
        <x:v>NGC 1395</x:v>
      </x:c>
      <x:c r="B82" s="13" t="str">
        <x:v>—</x:v>
      </x:c>
      <x:c r="C82" s="13" t="str">
        <x:v>03:38:29.72</x:v>
      </x:c>
      <x:c r="D82" s="13" t="str">
        <x:v>-23:01:38.4</x:v>
      </x:c>
      <x:c r="E82" s="13" t="str">
        <x:v>Eridanus</x:v>
      </x:c>
      <x:c r="F82" s="13" t="str">
        <x:v>Both hemispheres</x:v>
      </x:c>
      <x:c r="G82" s="13" t="str">
        <x:v>14.84 × 12.02</x:v>
      </x:c>
      <x:c r="H82" s="16" t="n">
        <x:v>14.84</x:v>
      </x:c>
      <x:c r="I82" s="16" t="n">
        <x:v>12.02</x:v>
      </x:c>
      <x:c r="J82" s="16" t="n">
        <x:v>6.45</x:v>
      </x:c>
      <x:c r="K82" s="13" t="str">
        <x:v>W1 (3.4 μm)</x:v>
      </x:c>
      <x:c r="L82" s="13" t="str">
        <x:v>E (WXSC/RC3)</x:v>
      </x:c>
      <x:c r="M82" s="13" t="str">
        <x:v>No</x:v>
      </x:c>
      <x:c r="N82" s="13" t="str">
        <x:v>No</x:v>
      </x:c>
      <x:c r="O82" s="13" t="str">
        <x:v>No</x:v>
      </x:c>
      <x:c r="P82" s="13" t="str">
        <x:v>Yes</x:v>
      </x:c>
      <x:c r="Q82" s="18" t="n">
        <x:v>1</x:v>
      </x:c>
      <x:c r="R82" s="18" t="n">
        <x:v>50</x:v>
      </x:c>
      <x:c r="S82" s="13" t="str">
        <x:v>WXSC-added next largest</x:v>
      </x:c>
      <x:c r="T82" s="13" t="str">
        <x:v>Next 50 largest apparent-size galaxies from WXSC, excluding the project-discussed list</x:v>
      </x:c>
      <x:c r="U82" s="13" t="str">
        <x:v>Elliptical; not an Hα/dust target.</x:v>
      </x:c>
      <x:c r="V82" s="13" t="str">
        <x:v>https://cdsarc.cds.unistra.fr/ftp/J/ApJS/245/25/table1.dat</x:v>
      </x:c>
      <x:c r="W82" s="13" t="str">
        <x:v>https://cdsarc.cds.unistra.fr/viz-bin/ReadMe/J/ApJS/245/25?format=html&amp;tex=true</x:v>
      </x:c>
    </x:row>
    <x:row r="83">
      <x:c r="A83" s="13" t="str">
        <x:v>IC 10</x:v>
      </x:c>
      <x:c r="B83" s="13" t="str">
        <x:v>—</x:v>
      </x:c>
      <x:c r="C83" s="13" t="str">
        <x:v>00:20:17.27</x:v>
      </x:c>
      <x:c r="D83" s="13" t="str">
        <x:v>+59:18:14.0</x:v>
      </x:c>
      <x:c r="E83" s="13" t="str">
        <x:v>Cassiopeia</x:v>
      </x:c>
      <x:c r="F83" s="13" t="str">
        <x:v>North-favored</x:v>
      </x:c>
      <x:c r="G83" s="13" t="str">
        <x:v>14.66 × 12.75</x:v>
      </x:c>
      <x:c r="H83" s="16" t="n">
        <x:v>14.66</x:v>
      </x:c>
      <x:c r="I83" s="16" t="n">
        <x:v>12.75</x:v>
      </x:c>
      <x:c r="J83" s="16" t="n">
        <x:v>5.11</x:v>
      </x:c>
      <x:c r="K83" s="13" t="str">
        <x:v>W1 (3.4 μm)</x:v>
      </x:c>
      <x:c r="L83" s="13" t="str">
        <x:v>IBm (WXSC/RC3)</x:v>
      </x:c>
      <x:c r="M83" s="13" t="str">
        <x:v>Yes</x:v>
      </x:c>
      <x:c r="N83" s="13" t="str">
        <x:v>Weak</x:v>
      </x:c>
      <x:c r="O83" s="13" t="str">
        <x:v>Weak</x:v>
      </x:c>
      <x:c r="P83" s="13" t="str">
        <x:v>Yes</x:v>
      </x:c>
      <x:c r="Q83" s="18" t="n">
        <x:v>4</x:v>
      </x:c>
      <x:c r="R83" s="18" t="n">
        <x:v>51</x:v>
      </x:c>
      <x:c r="S83" s="13" t="str">
        <x:v>WXSC-added next largest</x:v>
      </x:c>
      <x:c r="T83" s="13" t="str">
        <x:v>Next 50 largest apparent-size galaxies from WXSC, excluding the project-discussed list</x:v>
      </x:c>
      <x:c r="U83" s="13" t="str">
        <x:v>Nearby starburst dwarf; emission is real but foreground extinction and small scale make it harder.</x:v>
      </x:c>
      <x:c r="V83" s="13" t="str">
        <x:v>https://cdsarc.cds.unistra.fr/ftp/J/ApJS/245/25/table1.dat</x:v>
      </x:c>
      <x:c r="W83" s="13" t="str">
        <x:v>https://cdsarc.cds.unistra.fr/viz-bin/ReadMe/J/ApJS/245/25?format=html&amp;tex=true</x:v>
      </x:c>
    </x:row>
    <x:row r="84">
      <x:c r="A84" s="13" t="str">
        <x:v>NGC 4517</x:v>
      </x:c>
      <x:c r="B84" s="13" t="str">
        <x:v>—</x:v>
      </x:c>
      <x:c r="C84" s="13" t="str">
        <x:v>12:32:45.52</x:v>
      </x:c>
      <x:c r="D84" s="13" t="str">
        <x:v>+00:06:54.9</x:v>
      </x:c>
      <x:c r="E84" s="13" t="str">
        <x:v>Virgo</x:v>
      </x:c>
      <x:c r="F84" s="13" t="str">
        <x:v>Both hemispheres</x:v>
      </x:c>
      <x:c r="G84" s="13" t="str">
        <x:v>14.44 × 2.60</x:v>
      </x:c>
      <x:c r="H84" s="16" t="n">
        <x:v>14.44</x:v>
      </x:c>
      <x:c r="I84" s="16" t="n">
        <x:v>2.6</x:v>
      </x:c>
      <x:c r="J84" s="16" t="n">
        <x:v>7.08</x:v>
      </x:c>
      <x:c r="K84" s="13" t="str">
        <x:v>W1 (3.4 μm)</x:v>
      </x:c>
      <x:c r="L84" s="13" t="str">
        <x:v>Sc (WXSC/RC3)</x:v>
      </x:c>
      <x:c r="M84" s="13" t="str">
        <x:v>Weak</x:v>
      </x:c>
      <x:c r="N84" s="13" t="str">
        <x:v>Yes</x:v>
      </x:c>
      <x:c r="O84" s="13" t="str">
        <x:v>No</x:v>
      </x:c>
      <x:c r="P84" s="13" t="str">
        <x:v>Yes</x:v>
      </x:c>
      <x:c r="Q84" s="18" t="n">
        <x:v>2</x:v>
      </x:c>
      <x:c r="R84" s="18" t="n">
        <x:v>52</x:v>
      </x:c>
      <x:c r="S84" s="13" t="str">
        <x:v>WXSC-added next largest</x:v>
      </x:c>
      <x:c r="T84" s="13" t="str">
        <x:v>Next 50 largest apparent-size galaxies from WXSC, excluding the project-discussed list</x:v>
      </x:c>
      <x:c r="U84" s="13" t="str">
        <x:v>Large edge-on spiral; dust lane is the main visible feature.</x:v>
      </x:c>
      <x:c r="V84" s="13" t="str">
        <x:v>https://cdsarc.cds.unistra.fr/ftp/J/ApJS/245/25/table1.dat</x:v>
      </x:c>
      <x:c r="W84" s="13" t="str">
        <x:v>https://cdsarc.cds.unistra.fr/viz-bin/ReadMe/J/ApJS/245/25?format=html&amp;tex=true</x:v>
      </x:c>
    </x:row>
    <x:row r="85">
      <x:c r="A85" s="13" t="str">
        <x:v>NGC 1291</x:v>
      </x:c>
      <x:c r="B85" s="13" t="str">
        <x:v>—</x:v>
      </x:c>
      <x:c r="C85" s="13" t="str">
        <x:v>03:17:18.58</x:v>
      </x:c>
      <x:c r="D85" s="13" t="str">
        <x:v>-41:06:28.9</x:v>
      </x:c>
      <x:c r="E85" s="13" t="str">
        <x:v>Eridanus</x:v>
      </x:c>
      <x:c r="F85" s="13" t="str">
        <x:v>Both hemispheres</x:v>
      </x:c>
      <x:c r="G85" s="13" t="str">
        <x:v>14.44 × 14.15</x:v>
      </x:c>
      <x:c r="H85" s="16" t="n">
        <x:v>14.44</x:v>
      </x:c>
      <x:c r="I85" s="16" t="n">
        <x:v>14.15</x:v>
      </x:c>
      <x:c r="J85" s="16" t="n">
        <x:v>5.35</x:v>
      </x:c>
      <x:c r="K85" s="13" t="str">
        <x:v>W1 (3.4 μm)</x:v>
      </x:c>
      <x:c r="L85" s="13" t="str">
        <x:v>S0-a (WXSC/RC3)</x:v>
      </x:c>
      <x:c r="M85" s="13" t="str">
        <x:v>Weak</x:v>
      </x:c>
      <x:c r="N85" s="13" t="str">
        <x:v>Weak</x:v>
      </x:c>
      <x:c r="O85" s="13" t="str">
        <x:v>No</x:v>
      </x:c>
      <x:c r="P85" s="13" t="str">
        <x:v>Very low from NJ</x:v>
      </x:c>
      <x:c r="Q85" s="18" t="n">
        <x:v>2</x:v>
      </x:c>
      <x:c r="R85" s="18" t="n">
        <x:v>53</x:v>
      </x:c>
      <x:c r="S85" s="13" t="str">
        <x:v>WXSC-added next largest</x:v>
      </x:c>
      <x:c r="T85" s="13" t="str">
        <x:v>Next 50 largest apparent-size galaxies from WXSC, excluding the project-discussed list</x:v>
      </x:c>
      <x:c r="U85" s="13" t="str">
        <x:v>Ringed early-type spiral/lenticular; any Hα is compact/subtle.</x:v>
      </x:c>
      <x:c r="V85" s="13" t="str">
        <x:v>https://cdsarc.cds.unistra.fr/ftp/J/ApJS/245/25/table1.dat</x:v>
      </x:c>
      <x:c r="W85" s="13" t="str">
        <x:v>https://cdsarc.cds.unistra.fr/viz-bin/ReadMe/J/ApJS/245/25?format=html&amp;tex=true</x:v>
      </x:c>
    </x:row>
    <x:row r="86">
      <x:c r="A86" s="13" t="str">
        <x:v>NGC 2683</x:v>
      </x:c>
      <x:c r="B86" s="13" t="str">
        <x:v>UFO Galaxy</x:v>
      </x:c>
      <x:c r="C86" s="13" t="str">
        <x:v>08:52:41.34</x:v>
      </x:c>
      <x:c r="D86" s="13" t="str">
        <x:v>+33:25:19.0</x:v>
      </x:c>
      <x:c r="E86" s="13" t="str">
        <x:v>Lynx</x:v>
      </x:c>
      <x:c r="F86" s="13" t="str">
        <x:v>Both hemispheres</x:v>
      </x:c>
      <x:c r="G86" s="13" t="str">
        <x:v>14.32 × 2.72</x:v>
      </x:c>
      <x:c r="H86" s="16" t="n">
        <x:v>14.32</x:v>
      </x:c>
      <x:c r="I86" s="16" t="n">
        <x:v>2.72</x:v>
      </x:c>
      <x:c r="J86" s="16" t="n">
        <x:v>6.14</x:v>
      </x:c>
      <x:c r="K86" s="13" t="str">
        <x:v>W1 (3.4 μm)</x:v>
      </x:c>
      <x:c r="L86" s="13" t="str">
        <x:v>Sb (WXSC/RC3)</x:v>
      </x:c>
      <x:c r="M86" s="13" t="str">
        <x:v>Weak</x:v>
      </x:c>
      <x:c r="N86" s="13" t="str">
        <x:v>Yes</x:v>
      </x:c>
      <x:c r="O86" s="13" t="str">
        <x:v>No</x:v>
      </x:c>
      <x:c r="P86" s="13" t="str">
        <x:v>Yes</x:v>
      </x:c>
      <x:c r="Q86" s="18" t="n">
        <x:v>3</x:v>
      </x:c>
      <x:c r="R86" s="18" t="n">
        <x:v>54</x:v>
      </x:c>
      <x:c r="S86" s="13" t="str">
        <x:v>WXSC-added next largest</x:v>
      </x:c>
      <x:c r="T86" s="13" t="str">
        <x:v>Next 50 largest apparent-size galaxies from WXSC, excluding the project-discussed list</x:v>
      </x:c>
      <x:c r="U86" s="13" t="str">
        <x:v>Inclined spiral with visible dust; Hα is subtle.</x:v>
      </x:c>
      <x:c r="V86" s="13" t="str">
        <x:v>https://cdsarc.cds.unistra.fr/ftp/J/ApJS/245/25/table1.dat</x:v>
      </x:c>
      <x:c r="W86" s="13" t="str">
        <x:v>https://cdsarc.cds.unistra.fr/viz-bin/ReadMe/J/ApJS/245/25?format=html&amp;tex=true</x:v>
      </x:c>
    </x:row>
    <x:row r="87">
      <x:c r="A87" s="13" t="str">
        <x:v>NGC 4697</x:v>
      </x:c>
      <x:c r="B87" s="13" t="str">
        <x:v>—</x:v>
      </x:c>
      <x:c r="C87" s="13" t="str">
        <x:v>12:48:35.91</x:v>
      </x:c>
      <x:c r="D87" s="13" t="str">
        <x:v>-05:48:02.2</x:v>
      </x:c>
      <x:c r="E87" s="13" t="str">
        <x:v>Virgo</x:v>
      </x:c>
      <x:c r="F87" s="13" t="str">
        <x:v>Both hemispheres</x:v>
      </x:c>
      <x:c r="G87" s="13" t="str">
        <x:v>14.26 × 11.55</x:v>
      </x:c>
      <x:c r="H87" s="16" t="n">
        <x:v>14.26</x:v>
      </x:c>
      <x:c r="I87" s="16" t="n">
        <x:v>11.55</x:v>
      </x:c>
      <x:c r="J87" s="16" t="n">
        <x:v>6</x:v>
      </x:c>
      <x:c r="K87" s="13" t="str">
        <x:v>W1 (3.4 μm)</x:v>
      </x:c>
      <x:c r="L87" s="13" t="str">
        <x:v>E (WXSC/RC3)</x:v>
      </x:c>
      <x:c r="M87" s="13" t="str">
        <x:v>No</x:v>
      </x:c>
      <x:c r="N87" s="13" t="str">
        <x:v>No</x:v>
      </x:c>
      <x:c r="O87" s="13" t="str">
        <x:v>No</x:v>
      </x:c>
      <x:c r="P87" s="13" t="str">
        <x:v>Yes</x:v>
      </x:c>
      <x:c r="Q87" s="18" t="n">
        <x:v>1</x:v>
      </x:c>
      <x:c r="R87" s="18" t="n">
        <x:v>55</x:v>
      </x:c>
      <x:c r="S87" s="13" t="str">
        <x:v>WXSC-added next largest</x:v>
      </x:c>
      <x:c r="T87" s="13" t="str">
        <x:v>Next 50 largest apparent-size galaxies from WXSC, excluding the project-discussed list</x:v>
      </x:c>
      <x:c r="U87" s="13" t="str">
        <x:v>Elliptical; not an Hα/dust target.</x:v>
      </x:c>
      <x:c r="V87" s="13" t="str">
        <x:v>https://cdsarc.cds.unistra.fr/ftp/J/ApJS/245/25/table1.dat</x:v>
      </x:c>
      <x:c r="W87" s="13" t="str">
        <x:v>https://cdsarc.cds.unistra.fr/viz-bin/ReadMe/J/ApJS/245/25?format=html&amp;tex=true</x:v>
      </x:c>
    </x:row>
    <x:row r="88">
      <x:c r="A88" s="13" t="str">
        <x:v>NGC 3109</x:v>
      </x:c>
      <x:c r="B88" s="13" t="str">
        <x:v>—</x:v>
      </x:c>
      <x:c r="C88" s="13" t="str">
        <x:v>10:03:10.16</x:v>
      </x:c>
      <x:c r="D88" s="13" t="str">
        <x:v>-26:09:39.5</x:v>
      </x:c>
      <x:c r="E88" s="13" t="str">
        <x:v>Hydra</x:v>
      </x:c>
      <x:c r="F88" s="13" t="str">
        <x:v>Both hemispheres</x:v>
      </x:c>
      <x:c r="G88" s="13" t="str">
        <x:v>14.18 × 4.40</x:v>
      </x:c>
      <x:c r="H88" s="16" t="n">
        <x:v>14.18</x:v>
      </x:c>
      <x:c r="I88" s="16" t="n">
        <x:v>4.4</x:v>
      </x:c>
      <x:c r="J88" s="16" t="n">
        <x:v>8</x:v>
      </x:c>
      <x:c r="K88" s="13" t="str">
        <x:v>W1 (3.4 μm)</x:v>
      </x:c>
      <x:c r="L88" s="13" t="str">
        <x:v>SBm (WXSC/RC3)</x:v>
      </x:c>
      <x:c r="M88" s="13" t="str">
        <x:v>Weak</x:v>
      </x:c>
      <x:c r="N88" s="13" t="str">
        <x:v>Weak</x:v>
      </x:c>
      <x:c r="O88" s="13" t="str">
        <x:v>No</x:v>
      </x:c>
      <x:c r="P88" s="13" t="str">
        <x:v>Low southern from NJ</x:v>
      </x:c>
      <x:c r="Q88" s="18" t="n">
        <x:v>2</x:v>
      </x:c>
      <x:c r="R88" s="18" t="n">
        <x:v>57</x:v>
      </x:c>
      <x:c r="S88" s="13" t="str">
        <x:v>WXSC-added next largest</x:v>
      </x:c>
      <x:c r="T88" s="13" t="str">
        <x:v>Next 50 largest apparent-size galaxies from WXSC, excluding the project-discussed list</x:v>
      </x:c>
      <x:c r="U88" s="13" t="str">
        <x:v>Dwarf irregular with H II regions; low-surface-brightness and low from NJ.</x:v>
      </x:c>
      <x:c r="V88" s="13" t="str">
        <x:v>https://cdsarc.cds.unistra.fr/ftp/J/ApJS/245/25/table1.dat</x:v>
      </x:c>
      <x:c r="W88" s="13" t="str">
        <x:v>https://cdsarc.cds.unistra.fr/viz-bin/ReadMe/J/ApJS/245/25?format=html&amp;tex=true</x:v>
      </x:c>
    </x:row>
    <x:row r="89">
      <x:c r="A89" s="13" t="str">
        <x:v>NGC 891</x:v>
      </x:c>
      <x:c r="B89" s="13" t="str">
        <x:v>Silver Sliver Galaxy</x:v>
      </x:c>
      <x:c r="C89" s="13" t="str">
        <x:v>02:22:32.95</x:v>
      </x:c>
      <x:c r="D89" s="13" t="str">
        <x:v>+42:20:52.0</x:v>
      </x:c>
      <x:c r="E89" s="13" t="str">
        <x:v>Andromeda</x:v>
      </x:c>
      <x:c r="F89" s="13" t="str">
        <x:v>Both hemispheres</x:v>
      </x:c>
      <x:c r="G89" s="13" t="str">
        <x:v>14.18 × 3.54</x:v>
      </x:c>
      <x:c r="H89" s="16" t="n">
        <x:v>14.18</x:v>
      </x:c>
      <x:c r="I89" s="16" t="n">
        <x:v>3.54</x:v>
      </x:c>
      <x:c r="J89" s="16" t="n">
        <x:v>5.51</x:v>
      </x:c>
      <x:c r="K89" s="13" t="str">
        <x:v>W1 (3.4 μm)</x:v>
      </x:c>
      <x:c r="L89" s="13" t="str">
        <x:v>Sb (WXSC/RC3)</x:v>
      </x:c>
      <x:c r="M89" s="13" t="str">
        <x:v>Weak</x:v>
      </x:c>
      <x:c r="N89" s="13" t="str">
        <x:v>Yes</x:v>
      </x:c>
      <x:c r="O89" s="13" t="str">
        <x:v>No</x:v>
      </x:c>
      <x:c r="P89" s="13" t="str">
        <x:v>Yes</x:v>
      </x:c>
      <x:c r="Q89" s="18" t="n">
        <x:v>3</x:v>
      </x:c>
      <x:c r="R89" s="18" t="n">
        <x:v>58</x:v>
      </x:c>
      <x:c r="S89" s="13" t="str">
        <x:v>WXSC-added next largest</x:v>
      </x:c>
      <x:c r="T89" s="13" t="str">
        <x:v>Next 50 largest apparent-size galaxies from WXSC, excluding the project-discussed list</x:v>
      </x:c>
      <x:c r="U89" s="13" t="str">
        <x:v>Classic edge-on dust-lane galaxy; dust is excellent, Hα is subtle.</x:v>
      </x:c>
      <x:c r="V89" s="13" t="str">
        <x:v>https://cdsarc.cds.unistra.fr/ftp/J/ApJS/245/25/table1.dat</x:v>
      </x:c>
      <x:c r="W89" s="13" t="str">
        <x:v>https://cdsarc.cds.unistra.fr/viz-bin/ReadMe/J/ApJS/245/25?format=html&amp;tex=true</x:v>
      </x:c>
    </x:row>
    <x:row r="90">
      <x:c r="A90" s="13" t="str">
        <x:v>NGC 4244</x:v>
      </x:c>
      <x:c r="B90" s="13" t="str">
        <x:v>Silver Needle Galaxy</x:v>
      </x:c>
      <x:c r="C90" s="13" t="str">
        <x:v>12:17:29.49</x:v>
      </x:c>
      <x:c r="D90" s="13" t="str">
        <x:v>+37:48:26.6</x:v>
      </x:c>
      <x:c r="E90" s="13" t="str">
        <x:v>Canes Venatici</x:v>
      </x:c>
      <x:c r="F90" s="13" t="str">
        <x:v>Both hemispheres</x:v>
      </x:c>
      <x:c r="G90" s="13" t="str">
        <x:v>14.16 × 2.69</x:v>
      </x:c>
      <x:c r="H90" s="16" t="n">
        <x:v>14.16</x:v>
      </x:c>
      <x:c r="I90" s="16" t="n">
        <x:v>2.69</x:v>
      </x:c>
      <x:c r="J90" s="16" t="n">
        <x:v>7.51</x:v>
      </x:c>
      <x:c r="K90" s="13" t="str">
        <x:v>W1 (3.4 μm)</x:v>
      </x:c>
      <x:c r="L90" s="13" t="str">
        <x:v>Sc (WXSC/RC3)</x:v>
      </x:c>
      <x:c r="M90" s="13" t="str">
        <x:v>Weak</x:v>
      </x:c>
      <x:c r="N90" s="13" t="str">
        <x:v>Weak</x:v>
      </x:c>
      <x:c r="O90" s="13" t="str">
        <x:v>No</x:v>
      </x:c>
      <x:c r="P90" s="13" t="str">
        <x:v>Yes</x:v>
      </x:c>
      <x:c r="Q90" s="18" t="n">
        <x:v>2</x:v>
      </x:c>
      <x:c r="R90" s="18" t="n">
        <x:v>60</x:v>
      </x:c>
      <x:c r="S90" s="13" t="str">
        <x:v>WXSC-added next largest</x:v>
      </x:c>
      <x:c r="T90" s="13" t="str">
        <x:v>Next 50 largest apparent-size galaxies from WXSC, excluding the project-discussed list</x:v>
      </x:c>
      <x:c r="U90" s="13" t="str">
        <x:v>Large edge-on spiral; dust/emission are subtle.</x:v>
      </x:c>
      <x:c r="V90" s="13" t="str">
        <x:v>https://cdsarc.cds.unistra.fr/ftp/J/ApJS/245/25/table1.dat</x:v>
      </x:c>
      <x:c r="W90" s="13" t="str">
        <x:v>https://cdsarc.cds.unistra.fr/viz-bin/ReadMe/J/ApJS/245/25?format=html&amp;tex=true</x:v>
      </x:c>
    </x:row>
    <x:row r="91">
      <x:c r="A91" s="13" t="str">
        <x:v>NGC 4762</x:v>
      </x:c>
      <x:c r="B91" s="13" t="str">
        <x:v>—</x:v>
      </x:c>
      <x:c r="C91" s="13" t="str">
        <x:v>12:52:55.98</x:v>
      </x:c>
      <x:c r="D91" s="13" t="str">
        <x:v>+11:13:51.8</x:v>
      </x:c>
      <x:c r="E91" s="13" t="str">
        <x:v>Virgo</x:v>
      </x:c>
      <x:c r="F91" s="13" t="str">
        <x:v>Both hemispheres</x:v>
      </x:c>
      <x:c r="G91" s="13" t="str">
        <x:v>14.16 × 4.11</x:v>
      </x:c>
      <x:c r="H91" s="16" t="n">
        <x:v>14.16</x:v>
      </x:c>
      <x:c r="I91" s="16" t="n">
        <x:v>4.11</x:v>
      </x:c>
      <x:c r="J91" s="16" t="n">
        <x:v>7.11</x:v>
      </x:c>
      <x:c r="K91" s="13" t="str">
        <x:v>W1 (3.4 μm)</x:v>
      </x:c>
      <x:c r="L91" s="13" t="str">
        <x:v>S0 (WXSC/RC3)</x:v>
      </x:c>
      <x:c r="M91" s="13" t="str">
        <x:v>No</x:v>
      </x:c>
      <x:c r="N91" s="13" t="str">
        <x:v>No</x:v>
      </x:c>
      <x:c r="O91" s="13" t="str">
        <x:v>No</x:v>
      </x:c>
      <x:c r="P91" s="13" t="str">
        <x:v>Yes</x:v>
      </x:c>
      <x:c r="Q91" s="18" t="n">
        <x:v>1</x:v>
      </x:c>
      <x:c r="R91" s="18" t="n">
        <x:v>61</x:v>
      </x:c>
      <x:c r="S91" s="13" t="str">
        <x:v>WXSC-added next largest</x:v>
      </x:c>
      <x:c r="T91" s="13" t="str">
        <x:v>Next 50 largest apparent-size galaxies from WXSC, excluding the project-discussed list</x:v>
      </x:c>
      <x:c r="U91" s="13" t="str">
        <x:v>Edge-on lenticular; not an Hα-rich target.</x:v>
      </x:c>
      <x:c r="V91" s="13" t="str">
        <x:v>https://cdsarc.cds.unistra.fr/ftp/J/ApJS/245/25/table1.dat</x:v>
      </x:c>
      <x:c r="W91" s="13" t="str">
        <x:v>https://cdsarc.cds.unistra.fr/viz-bin/ReadMe/J/ApJS/245/25?format=html&amp;tex=true</x:v>
      </x:c>
    </x:row>
    <x:row r="92">
      <x:c r="A92" s="13" t="str">
        <x:v>NGC 5084</x:v>
      </x:c>
      <x:c r="B92" s="13" t="str">
        <x:v>—</x:v>
      </x:c>
      <x:c r="C92" s="13" t="str">
        <x:v>13:20:16.85</x:v>
      </x:c>
      <x:c r="D92" s="13" t="str">
        <x:v>-21:49:38.1</x:v>
      </x:c>
      <x:c r="E92" s="13" t="str">
        <x:v>Virgo</x:v>
      </x:c>
      <x:c r="F92" s="13" t="str">
        <x:v>Both hemispheres</x:v>
      </x:c>
      <x:c r="G92" s="13" t="str">
        <x:v>13.70 × 5.48</x:v>
      </x:c>
      <x:c r="H92" s="16" t="n">
        <x:v>13.7</x:v>
      </x:c>
      <x:c r="I92" s="16" t="n">
        <x:v>5.48</x:v>
      </x:c>
      <x:c r="J92" s="16" t="n">
        <x:v>6.83</x:v>
      </x:c>
      <x:c r="K92" s="13" t="str">
        <x:v>W1 (3.4 μm)</x:v>
      </x:c>
      <x:c r="L92" s="13" t="str">
        <x:v>S0 (WXSC/RC3)</x:v>
      </x:c>
      <x:c r="M92" s="13" t="str">
        <x:v>No</x:v>
      </x:c>
      <x:c r="N92" s="13" t="str">
        <x:v>Yes</x:v>
      </x:c>
      <x:c r="O92" s="13" t="str">
        <x:v>No</x:v>
      </x:c>
      <x:c r="P92" s="13" t="str">
        <x:v>Yes</x:v>
      </x:c>
      <x:c r="Q92" s="18" t="n">
        <x:v>1</x:v>
      </x:c>
      <x:c r="R92" s="18" t="n">
        <x:v>62</x:v>
      </x:c>
      <x:c r="S92" s="13" t="str">
        <x:v>WXSC-added next largest</x:v>
      </x:c>
      <x:c r="T92" s="13" t="str">
        <x:v>Next 50 largest apparent-size galaxies from WXSC, excluding the project-discussed list</x:v>
      </x:c>
      <x:c r="U92" s="13" t="str">
        <x:v>Large edge-on lenticular with dust-lane potential; not Hα-rich.</x:v>
      </x:c>
      <x:c r="V92" s="13" t="str">
        <x:v>https://cdsarc.cds.unistra.fr/ftp/J/ApJS/245/25/table1.dat</x:v>
      </x:c>
      <x:c r="W92" s="13" t="str">
        <x:v>https://cdsarc.cds.unistra.fr/viz-bin/ReadMe/J/ApJS/245/25?format=html&amp;tex=true</x:v>
      </x:c>
    </x:row>
    <x:row r="93">
      <x:c r="A93" s="13" t="str">
        <x:v>NGC 5907</x:v>
      </x:c>
      <x:c r="B93" s="13" t="str">
        <x:v>Splinter Galaxy</x:v>
      </x:c>
      <x:c r="C93" s="13" t="str">
        <x:v>15:15:53.53</x:v>
      </x:c>
      <x:c r="D93" s="13" t="str">
        <x:v>+56:19:43.5</x:v>
      </x:c>
      <x:c r="E93" s="13" t="str">
        <x:v>Draco</x:v>
      </x:c>
      <x:c r="F93" s="13" t="str">
        <x:v>North-favored</x:v>
      </x:c>
      <x:c r="G93" s="13" t="str">
        <x:v>13.52 × 2.57</x:v>
      </x:c>
      <x:c r="H93" s="16" t="n">
        <x:v>13.52</x:v>
      </x:c>
      <x:c r="I93" s="16" t="n">
        <x:v>2.57</x:v>
      </x:c>
      <x:c r="J93" s="16" t="n">
        <x:v>6.47</x:v>
      </x:c>
      <x:c r="K93" s="13" t="str">
        <x:v>W1 (3.4 μm)</x:v>
      </x:c>
      <x:c r="L93" s="13" t="str">
        <x:v>SABc (WXSC/RC3)</x:v>
      </x:c>
      <x:c r="M93" s="13" t="str">
        <x:v>Weak</x:v>
      </x:c>
      <x:c r="N93" s="13" t="str">
        <x:v>Yes</x:v>
      </x:c>
      <x:c r="O93" s="13" t="str">
        <x:v>No</x:v>
      </x:c>
      <x:c r="P93" s="13" t="str">
        <x:v>Yes</x:v>
      </x:c>
      <x:c r="Q93" s="18" t="n">
        <x:v>3</x:v>
      </x:c>
      <x:c r="R93" s="18" t="n">
        <x:v>63</x:v>
      </x:c>
      <x:c r="S93" s="13" t="str">
        <x:v>WXSC-added next largest</x:v>
      </x:c>
      <x:c r="T93" s="13" t="str">
        <x:v>Next 50 largest apparent-size galaxies from WXSC, excluding the project-discussed list</x:v>
      </x:c>
      <x:c r="U93" s="13" t="str">
        <x:v>Long edge-on spiral; dust lane is the main prize.</x:v>
      </x:c>
      <x:c r="V93" s="13" t="str">
        <x:v>https://cdsarc.cds.unistra.fr/ftp/J/ApJS/245/25/table1.dat</x:v>
      </x:c>
      <x:c r="W93" s="13" t="str">
        <x:v>https://cdsarc.cds.unistra.fr/viz-bin/ReadMe/J/ApJS/245/25?format=html&amp;tex=true</x:v>
      </x:c>
    </x:row>
    <x:row r="94">
      <x:c r="A94" s="13" t="str">
        <x:v>NGC 4395</x:v>
      </x:c>
      <x:c r="B94" s="13" t="str">
        <x:v>—</x:v>
      </x:c>
      <x:c r="C94" s="13" t="str">
        <x:v>12:25:48.87</x:v>
      </x:c>
      <x:c r="D94" s="13" t="str">
        <x:v>+33:32:48.8</x:v>
      </x:c>
      <x:c r="E94" s="13" t="str">
        <x:v>Canes Venatici</x:v>
      </x:c>
      <x:c r="F94" s="13" t="str">
        <x:v>Both hemispheres</x:v>
      </x:c>
      <x:c r="G94" s="13" t="str">
        <x:v>13.44 × 10.89</x:v>
      </x:c>
      <x:c r="H94" s="16" t="n">
        <x:v>13.44</x:v>
      </x:c>
      <x:c r="I94" s="16" t="n">
        <x:v>10.89</x:v>
      </x:c>
      <x:c r="J94" s="16" t="n">
        <x:v>7.78</x:v>
      </x:c>
      <x:c r="K94" s="13" t="str">
        <x:v>W1 (3.4 μm)</x:v>
      </x:c>
      <x:c r="L94" s="13" t="str">
        <x:v>Sm (WXSC/RC3)</x:v>
      </x:c>
      <x:c r="M94" s="13" t="str">
        <x:v>Weak</x:v>
      </x:c>
      <x:c r="N94" s="13" t="str">
        <x:v>Weak</x:v>
      </x:c>
      <x:c r="O94" s="13" t="str">
        <x:v>No</x:v>
      </x:c>
      <x:c r="P94" s="13" t="str">
        <x:v>Yes</x:v>
      </x:c>
      <x:c r="Q94" s="18" t="n">
        <x:v>2</x:v>
      </x:c>
      <x:c r="R94" s="18" t="n">
        <x:v>64</x:v>
      </x:c>
      <x:c r="S94" s="13" t="str">
        <x:v>WXSC-added next largest</x:v>
      </x:c>
      <x:c r="T94" s="13" t="str">
        <x:v>Next 50 largest apparent-size galaxies from WXSC, excluding the project-discussed list</x:v>
      </x:c>
      <x:c r="U94" s="13" t="str">
        <x:v>Diffuse Magellanic spiral with star-forming regions; low contrast.</x:v>
      </x:c>
      <x:c r="V94" s="13" t="str">
        <x:v>https://cdsarc.cds.unistra.fr/ftp/J/ApJS/245/25/table1.dat</x:v>
      </x:c>
      <x:c r="W94" s="13" t="str">
        <x:v>https://cdsarc.cds.unistra.fr/viz-bin/ReadMe/J/ApJS/245/25?format=html&amp;tex=true</x:v>
      </x:c>
    </x:row>
    <x:row r="95">
      <x:c r="A95" s="13" t="str">
        <x:v>NGC 1407</x:v>
      </x:c>
      <x:c r="B95" s="13" t="str">
        <x:v>—</x:v>
      </x:c>
      <x:c r="C95" s="13" t="str">
        <x:v>03:40:11.80</x:v>
      </x:c>
      <x:c r="D95" s="13" t="str">
        <x:v>-18:34:48.0</x:v>
      </x:c>
      <x:c r="E95" s="13" t="str">
        <x:v>Eridanus</x:v>
      </x:c>
      <x:c r="F95" s="13" t="str">
        <x:v>Both hemispheres</x:v>
      </x:c>
      <x:c r="G95" s="13" t="str">
        <x:v>13.26 × 13.26</x:v>
      </x:c>
      <x:c r="H95" s="16" t="n">
        <x:v>13.26</x:v>
      </x:c>
      <x:c r="I95" s="16" t="n">
        <x:v>13.26</x:v>
      </x:c>
      <x:c r="J95" s="16" t="n">
        <x:v>6.2</x:v>
      </x:c>
      <x:c r="K95" s="13" t="str">
        <x:v>W1 (3.4 μm)</x:v>
      </x:c>
      <x:c r="L95" s="13" t="str">
        <x:v>E (WXSC/RC3)</x:v>
      </x:c>
      <x:c r="M95" s="13" t="str">
        <x:v>No</x:v>
      </x:c>
      <x:c r="N95" s="13" t="str">
        <x:v>No</x:v>
      </x:c>
      <x:c r="O95" s="13" t="str">
        <x:v>No</x:v>
      </x:c>
      <x:c r="P95" s="13" t="str">
        <x:v>Yes</x:v>
      </x:c>
      <x:c r="Q95" s="18" t="n">
        <x:v>1</x:v>
      </x:c>
      <x:c r="R95" s="18" t="n">
        <x:v>65</x:v>
      </x:c>
      <x:c r="S95" s="13" t="str">
        <x:v>WXSC-added next largest</x:v>
      </x:c>
      <x:c r="T95" s="13" t="str">
        <x:v>Next 50 largest apparent-size galaxies from WXSC, excluding the project-discussed list</x:v>
      </x:c>
      <x:c r="U95" s="13" t="str">
        <x:v>Elliptical; not an Hα/dust target.</x:v>
      </x:c>
      <x:c r="V95" s="13" t="str">
        <x:v>https://cdsarc.cds.unistra.fr/ftp/J/ApJS/245/25/table1.dat</x:v>
      </x:c>
      <x:c r="W95" s="13" t="str">
        <x:v>https://cdsarc.cds.unistra.fr/viz-bin/ReadMe/J/ApJS/245/25?format=html&amp;tex=true</x:v>
      </x:c>
    </x:row>
    <x:row r="96">
      <x:c r="A96" s="13" t="str">
        <x:v>NGC 4438</x:v>
      </x:c>
      <x:c r="B96" s="13" t="str">
        <x:v>The Eyes pair member</x:v>
      </x:c>
      <x:c r="C96" s="13" t="str">
        <x:v>12:27:45.67</x:v>
      </x:c>
      <x:c r="D96" s="13" t="str">
        <x:v>+13:00:31.9</x:v>
      </x:c>
      <x:c r="E96" s="13" t="str">
        <x:v>Virgo</x:v>
      </x:c>
      <x:c r="F96" s="13" t="str">
        <x:v>Both hemispheres</x:v>
      </x:c>
      <x:c r="G96" s="13" t="str">
        <x:v>13.06 × 5.75</x:v>
      </x:c>
      <x:c r="H96" s="16" t="n">
        <x:v>13.06</x:v>
      </x:c>
      <x:c r="I96" s="16" t="n">
        <x:v>5.75</x:v>
      </x:c>
      <x:c r="J96" s="16" t="n">
        <x:v>6.79</x:v>
      </x:c>
      <x:c r="K96" s="13" t="str">
        <x:v>W1 (3.4 μm)</x:v>
      </x:c>
      <x:c r="L96" s="13" t="str">
        <x:v>Sa (WXSC/RC3)</x:v>
      </x:c>
      <x:c r="M96" s="13" t="str">
        <x:v>Weak</x:v>
      </x:c>
      <x:c r="N96" s="13" t="str">
        <x:v>Weak</x:v>
      </x:c>
      <x:c r="O96" s="13" t="str">
        <x:v>Weak</x:v>
      </x:c>
      <x:c r="P96" s="13" t="str">
        <x:v>Yes</x:v>
      </x:c>
      <x:c r="Q96" s="18" t="n">
        <x:v>2</x:v>
      </x:c>
      <x:c r="R96" s="18" t="n">
        <x:v>67</x:v>
      </x:c>
      <x:c r="S96" s="13" t="str">
        <x:v>WXSC-added next largest</x:v>
      </x:c>
      <x:c r="T96" s="13" t="str">
        <x:v>Next 50 largest apparent-size galaxies from WXSC, excluding the project-discussed list</x:v>
      </x:c>
      <x:c r="U96" s="13" t="str">
        <x:v>Disturbed Virgo galaxy; some emission/dust structure, but not a classic Hα-region target.</x:v>
      </x:c>
      <x:c r="V96" s="13" t="str">
        <x:v>https://cdsarc.cds.unistra.fr/ftp/J/ApJS/245/25/table1.dat</x:v>
      </x:c>
      <x:c r="W96" s="13" t="str">
        <x:v>https://cdsarc.cds.unistra.fr/viz-bin/ReadMe/J/ApJS/245/25?format=html&amp;tex=true</x:v>
      </x:c>
    </x:row>
    <x:row r="97">
      <x:c r="A97" s="13" t="str">
        <x:v>NGC 5846</x:v>
      </x:c>
      <x:c r="B97" s="13" t="str">
        <x:v>—</x:v>
      </x:c>
      <x:c r="C97" s="13" t="str">
        <x:v>15:06:29.30</x:v>
      </x:c>
      <x:c r="D97" s="13" t="str">
        <x:v>+01:36:20.0</x:v>
      </x:c>
      <x:c r="E97" s="13" t="str">
        <x:v>Virgo</x:v>
      </x:c>
      <x:c r="F97" s="13" t="str">
        <x:v>Both hemispheres</x:v>
      </x:c>
      <x:c r="G97" s="13" t="str">
        <x:v>12.92 × 11.50</x:v>
      </x:c>
      <x:c r="H97" s="16" t="n">
        <x:v>12.92</x:v>
      </x:c>
      <x:c r="I97" s="16" t="n">
        <x:v>11.5</x:v>
      </x:c>
      <x:c r="J97" s="16" t="n">
        <x:v>6.41</x:v>
      </x:c>
      <x:c r="K97" s="13" t="str">
        <x:v>W1 (3.4 μm)</x:v>
      </x:c>
      <x:c r="L97" s="13" t="str">
        <x:v>E (WXSC/RC3)</x:v>
      </x:c>
      <x:c r="M97" s="13" t="str">
        <x:v>No</x:v>
      </x:c>
      <x:c r="N97" s="13" t="str">
        <x:v>No</x:v>
      </x:c>
      <x:c r="O97" s="13" t="str">
        <x:v>No</x:v>
      </x:c>
      <x:c r="P97" s="13" t="str">
        <x:v>Yes</x:v>
      </x:c>
      <x:c r="Q97" s="18" t="n">
        <x:v>1</x:v>
      </x:c>
      <x:c r="R97" s="18" t="n">
        <x:v>70</x:v>
      </x:c>
      <x:c r="S97" s="13" t="str">
        <x:v>WXSC-added next largest</x:v>
      </x:c>
      <x:c r="T97" s="13" t="str">
        <x:v>Next 50 largest apparent-size galaxies from WXSC, excluding the project-discussed list</x:v>
      </x:c>
      <x:c r="U97" s="13" t="str">
        <x:v>Elliptical; poor Hα/dust target.</x:v>
      </x:c>
      <x:c r="V97" s="13" t="str">
        <x:v>https://cdsarc.cds.unistra.fr/ftp/J/ApJS/245/25/table1.dat</x:v>
      </x:c>
      <x:c r="W97" s="13" t="str">
        <x:v>https://cdsarc.cds.unistra.fr/viz-bin/ReadMe/J/ApJS/245/25?format=html&amp;tex=true</x:v>
      </x:c>
    </x:row>
    <x:row r="98">
      <x:c r="A98" s="13" t="str">
        <x:v>NGC 4725</x:v>
      </x:c>
      <x:c r="B98" s="13" t="str">
        <x:v>—</x:v>
      </x:c>
      <x:c r="C98" s="13" t="str">
        <x:v>12:50:26.58</x:v>
      </x:c>
      <x:c r="D98" s="13" t="str">
        <x:v>+25:30:02.8</x:v>
      </x:c>
      <x:c r="E98" s="13" t="str">
        <x:v>Coma Berenices</x:v>
      </x:c>
      <x:c r="F98" s="13" t="str">
        <x:v>Both hemispheres</x:v>
      </x:c>
      <x:c r="G98" s="13" t="str">
        <x:v>12.88 × 8.11</x:v>
      </x:c>
      <x:c r="H98" s="16" t="n">
        <x:v>12.88</x:v>
      </x:c>
      <x:c r="I98" s="16" t="n">
        <x:v>8.11</x:v>
      </x:c>
      <x:c r="J98" s="16" t="n">
        <x:v>6.09</x:v>
      </x:c>
      <x:c r="K98" s="13" t="str">
        <x:v>W1 (3.4 μm)</x:v>
      </x:c>
      <x:c r="L98" s="13" t="str">
        <x:v>SABa (WXSC/RC3)</x:v>
      </x:c>
      <x:c r="M98" s="13" t="str">
        <x:v>Weak</x:v>
      </x:c>
      <x:c r="N98" s="13" t="str">
        <x:v>Weak</x:v>
      </x:c>
      <x:c r="O98" s="13" t="str">
        <x:v>No</x:v>
      </x:c>
      <x:c r="P98" s="13" t="str">
        <x:v>Yes</x:v>
      </x:c>
      <x:c r="Q98" s="18" t="n">
        <x:v>2</x:v>
      </x:c>
      <x:c r="R98" s="18" t="n">
        <x:v>71</x:v>
      </x:c>
      <x:c r="S98" s="13" t="str">
        <x:v>WXSC-added next largest</x:v>
      </x:c>
      <x:c r="T98" s="13" t="str">
        <x:v>Next 50 largest apparent-size galaxies from WXSC, excluding the project-discussed list</x:v>
      </x:c>
      <x:c r="U98" s="13" t="str">
        <x:v>Ringed/one-armed spiral; Hα/dust are present but modest for small-aperture imaging.</x:v>
      </x:c>
      <x:c r="V98" s="13" t="str">
        <x:v>https://cdsarc.cds.unistra.fr/ftp/J/ApJS/245/25/table1.dat</x:v>
      </x:c>
      <x:c r="W98" s="13" t="str">
        <x:v>https://cdsarc.cds.unistra.fr/viz-bin/ReadMe/J/ApJS/245/25?format=html&amp;tex=true</x:v>
      </x:c>
    </x:row>
    <x:row r="99">
      <x:c r="A99" s="13" t="str">
        <x:v>NGC 1549</x:v>
      </x:c>
      <x:c r="B99" s="13" t="str">
        <x:v>—</x:v>
      </x:c>
      <x:c r="C99" s="13" t="str">
        <x:v>04:15:45.15</x:v>
      </x:c>
      <x:c r="D99" s="13" t="str">
        <x:v>-55:35:32.5</x:v>
      </x:c>
      <x:c r="E99" s="13" t="str">
        <x:v>Dorado</x:v>
      </x:c>
      <x:c r="F99" s="13" t="str">
        <x:v>South-favored</x:v>
      </x:c>
      <x:c r="G99" s="13" t="str">
        <x:v>12.86 × 10.29</x:v>
      </x:c>
      <x:c r="H99" s="16" t="n">
        <x:v>12.86</x:v>
      </x:c>
      <x:c r="I99" s="16" t="n">
        <x:v>10.29</x:v>
      </x:c>
      <x:c r="J99" s="16" t="n">
        <x:v>6.35</x:v>
      </x:c>
      <x:c r="K99" s="13" t="str">
        <x:v>W1 (3.4 μm)</x:v>
      </x:c>
      <x:c r="L99" s="13" t="str">
        <x:v>E (WXSC/RC3)</x:v>
      </x:c>
      <x:c r="M99" s="13" t="str">
        <x:v>No</x:v>
      </x:c>
      <x:c r="N99" s="13" t="str">
        <x:v>No</x:v>
      </x:c>
      <x:c r="O99" s="13" t="str">
        <x:v>No</x:v>
      </x:c>
      <x:c r="P99" s="13" t="str">
        <x:v>No / southern-travel target</x:v>
      </x:c>
      <x:c r="Q99" s="18" t="n">
        <x:v>1</x:v>
      </x:c>
      <x:c r="R99" s="18" t="n">
        <x:v>72</x:v>
      </x:c>
      <x:c r="S99" s="13" t="str">
        <x:v>WXSC-added next largest</x:v>
      </x:c>
      <x:c r="T99" s="13" t="str">
        <x:v>Next 50 largest apparent-size galaxies from WXSC, excluding the project-discussed list</x:v>
      </x:c>
      <x:c r="U99" s="13" t="str">
        <x:v>Elliptical/lenticular; southern and not Hα-rich.</x:v>
      </x:c>
      <x:c r="V99" s="13" t="str">
        <x:v>https://cdsarc.cds.unistra.fr/ftp/J/ApJS/245/25/table1.dat</x:v>
      </x:c>
      <x:c r="W99" s="13" t="str">
        <x:v>https://cdsarc.cds.unistra.fr/viz-bin/ReadMe/J/ApJS/245/25?format=html&amp;tex=true</x:v>
      </x:c>
    </x:row>
    <x:row r="100">
      <x:c r="A100" s="13" t="str">
        <x:v>WLM</x:v>
      </x:c>
      <x:c r="B100" s="13" t="str">
        <x:v>Wolf-Lundmark-Melotte</x:v>
      </x:c>
      <x:c r="C100" s="13" t="str">
        <x:v>00:01:58.14</x:v>
      </x:c>
      <x:c r="D100" s="13" t="str">
        <x:v>-15:27:39.6</x:v>
      </x:c>
      <x:c r="E100" s="13" t="str">
        <x:v>Cetus</x:v>
      </x:c>
      <x:c r="F100" s="13" t="str">
        <x:v>Both hemispheres</x:v>
      </x:c>
      <x:c r="G100" s="13" t="str">
        <x:v>12.86 × 4.24</x:v>
      </x:c>
      <x:c r="H100" s="16" t="n">
        <x:v>12.86</x:v>
      </x:c>
      <x:c r="I100" s="16" t="n">
        <x:v>4.24</x:v>
      </x:c>
      <x:c r="J100" s="16" t="n">
        <x:v>8.93</x:v>
      </x:c>
      <x:c r="K100" s="13" t="str">
        <x:v>W1 (3.4 μm)</x:v>
      </x:c>
      <x:c r="L100" s="13" t="str">
        <x:v>IB (WXSC/RC3)</x:v>
      </x:c>
      <x:c r="M100" s="13" t="str">
        <x:v>Weak</x:v>
      </x:c>
      <x:c r="N100" s="13" t="str">
        <x:v>Weak</x:v>
      </x:c>
      <x:c r="O100" s="13" t="str">
        <x:v>No</x:v>
      </x:c>
      <x:c r="P100" s="13" t="str">
        <x:v>Yes</x:v>
      </x:c>
      <x:c r="Q100" s="18" t="n">
        <x:v>2</x:v>
      </x:c>
      <x:c r="R100" s="18" t="n">
        <x:v>73</x:v>
      </x:c>
      <x:c r="S100" s="13" t="str">
        <x:v>WXSC-added next largest</x:v>
      </x:c>
      <x:c r="T100" s="13" t="str">
        <x:v>Next 50 largest apparent-size galaxies from WXSC, excluding the project-discussed list</x:v>
      </x:c>
      <x:c r="U100" s="13" t="str">
        <x:v>Dwarf irregular with some star-forming regions; low-surface-brightness.</x:v>
      </x:c>
      <x:c r="V100" s="13" t="str">
        <x:v>https://cdsarc.cds.unistra.fr/ftp/J/ApJS/245/25/table1.dat</x:v>
      </x:c>
      <x:c r="W100" s="13" t="str">
        <x:v>https://cdsarc.cds.unistra.fr/viz-bin/ReadMe/J/ApJS/245/25?format=html&amp;tex=true</x:v>
      </x:c>
    </x:row>
    <x:row r="101">
      <x:c r="A101" s="13" t="str">
        <x:v>NGC 2841</x:v>
      </x:c>
      <x:c r="B101" s="13" t="str">
        <x:v>Tiger's Eye Galaxy</x:v>
      </x:c>
      <x:c r="C101" s="13" t="str">
        <x:v>09:22:02.65</x:v>
      </x:c>
      <x:c r="D101" s="13" t="str">
        <x:v>+50:58:35.6</x:v>
      </x:c>
      <x:c r="E101" s="13" t="str">
        <x:v>Ursa Major</x:v>
      </x:c>
      <x:c r="F101" s="13" t="str">
        <x:v>North-favored</x:v>
      </x:c>
      <x:c r="G101" s="13" t="str">
        <x:v>12.82 × 6.03</x:v>
      </x:c>
      <x:c r="H101" s="16" t="n">
        <x:v>12.82</x:v>
      </x:c>
      <x:c r="I101" s="16" t="n">
        <x:v>6.03</x:v>
      </x:c>
      <x:c r="J101" s="16" t="n">
        <x:v>5.89</x:v>
      </x:c>
      <x:c r="K101" s="13" t="str">
        <x:v>W1 (3.4 μm)</x:v>
      </x:c>
      <x:c r="L101" s="13" t="str">
        <x:v>SBb (WXSC/RC3)</x:v>
      </x:c>
      <x:c r="M101" s="13" t="str">
        <x:v>Weak</x:v>
      </x:c>
      <x:c r="N101" s="13" t="str">
        <x:v>Yes</x:v>
      </x:c>
      <x:c r="O101" s="13" t="str">
        <x:v>No</x:v>
      </x:c>
      <x:c r="P101" s="13" t="str">
        <x:v>Yes</x:v>
      </x:c>
      <x:c r="Q101" s="18" t="n">
        <x:v>3</x:v>
      </x:c>
      <x:c r="R101" s="18" t="n">
        <x:v>74</x:v>
      </x:c>
      <x:c r="S101" s="13" t="str">
        <x:v>WXSC-added next largest</x:v>
      </x:c>
      <x:c r="T101" s="13" t="str">
        <x:v>Next 50 largest apparent-size galaxies from WXSC, excluding the project-discussed list</x:v>
      </x:c>
      <x:c r="U101" s="13" t="str">
        <x:v>Large spiral with visible dust structure; Hα is more subdued.</x:v>
      </x:c>
      <x:c r="V101" s="13" t="str">
        <x:v>https://cdsarc.cds.unistra.fr/ftp/J/ApJS/245/25/table1.dat</x:v>
      </x:c>
      <x:c r="W101" s="13" t="str">
        <x:v>https://cdsarc.cds.unistra.fr/viz-bin/ReadMe/J/ApJS/245/25?format=html&amp;tex=true</x:v>
      </x:c>
    </x:row>
    <x:row r="102">
      <x:c r="A102" s="13" t="str">
        <x:v>Circinus Galaxy</x:v>
      </x:c>
      <x:c r="B102" s="13" t="str">
        <x:v>Circinus Galaxy</x:v>
      </x:c>
      <x:c r="C102" s="13" t="str">
        <x:v>14:13:09.95</x:v>
      </x:c>
      <x:c r="D102" s="13" t="str">
        <x:v>-65:20:21.2</x:v>
      </x:c>
      <x:c r="E102" s="13" t="str">
        <x:v>Circinus</x:v>
      </x:c>
      <x:c r="F102" s="13" t="str">
        <x:v>South-favored</x:v>
      </x:c>
      <x:c r="G102" s="13" t="str">
        <x:v>12.74 × 8.54</x:v>
      </x:c>
      <x:c r="H102" s="16" t="n">
        <x:v>12.74</x:v>
      </x:c>
      <x:c r="I102" s="16" t="n">
        <x:v>8.54</x:v>
      </x:c>
      <x:c r="J102" s="16" t="n">
        <x:v>4.43</x:v>
      </x:c>
      <x:c r="K102" s="13" t="str">
        <x:v>W1 (3.4 μm)</x:v>
      </x:c>
      <x:c r="L102" s="13" t="str">
        <x:v>Sb (WXSC/RC3)</x:v>
      </x:c>
      <x:c r="M102" s="13" t="str">
        <x:v>Yes</x:v>
      </x:c>
      <x:c r="N102" s="13" t="str">
        <x:v>Yes</x:v>
      </x:c>
      <x:c r="O102" s="13" t="str">
        <x:v>Weak</x:v>
      </x:c>
      <x:c r="P102" s="13" t="str">
        <x:v>No / southern-travel target</x:v>
      </x:c>
      <x:c r="Q102" s="18" t="n">
        <x:v>4</x:v>
      </x:c>
      <x:c r="R102" s="18" t="n">
        <x:v>75</x:v>
      </x:c>
      <x:c r="S102" s="13" t="str">
        <x:v>WXSC-added next largest</x:v>
      </x:c>
      <x:c r="T102" s="13" t="str">
        <x:v>Next 50 largest apparent-size galaxies from WXSC, excluding the project-discussed list</x:v>
      </x:c>
      <x:c r="U102" s="13" t="str">
        <x:v>Dusty starburst/AGN galaxy; excellent southerly object but not practical from NJ.</x:v>
      </x:c>
      <x:c r="V102" s="13" t="str">
        <x:v>https://cdsarc.cds.unistra.fr/ftp/J/ApJS/245/25/table1.dat</x:v>
      </x:c>
      <x:c r="W102" s="13" t="str">
        <x:v>https://cdsarc.cds.unistra.fr/viz-bin/ReadMe/J/ApJS/245/25?format=html&amp;tex=true</x:v>
      </x:c>
    </x:row>
    <x:row r="103">
      <x:c r="A103" s="13" t="str">
        <x:v>NGC 3621</x:v>
      </x:c>
      <x:c r="B103" s="13" t="str">
        <x:v>—</x:v>
      </x:c>
      <x:c r="C103" s="13" t="str">
        <x:v>11:18:16.51</x:v>
      </x:c>
      <x:c r="D103" s="13" t="str">
        <x:v>-32:48:50.6</x:v>
      </x:c>
      <x:c r="E103" s="13" t="str">
        <x:v>Hydra</x:v>
      </x:c>
      <x:c r="F103" s="13" t="str">
        <x:v>Both hemispheres</x:v>
      </x:c>
      <x:c r="G103" s="13" t="str">
        <x:v>12.66 × 6.08</x:v>
      </x:c>
      <x:c r="H103" s="16" t="n">
        <x:v>12.66</x:v>
      </x:c>
      <x:c r="I103" s="16" t="n">
        <x:v>6.08</x:v>
      </x:c>
      <x:c r="J103" s="16" t="n">
        <x:v>6.33</x:v>
      </x:c>
      <x:c r="K103" s="13" t="str">
        <x:v>W1 (3.4 μm)</x:v>
      </x:c>
      <x:c r="L103" s="13" t="str">
        <x:v>SBcd (WXSC/RC3)</x:v>
      </x:c>
      <x:c r="M103" s="13" t="str">
        <x:v>Yes</x:v>
      </x:c>
      <x:c r="N103" s="13" t="str">
        <x:v>Weak</x:v>
      </x:c>
      <x:c r="O103" s="13" t="str">
        <x:v>No</x:v>
      </x:c>
      <x:c r="P103" s="13" t="str">
        <x:v>Low southern from NJ</x:v>
      </x:c>
      <x:c r="Q103" s="18" t="n">
        <x:v>3</x:v>
      </x:c>
      <x:c r="R103" s="18" t="n">
        <x:v>76</x:v>
      </x:c>
      <x:c r="S103" s="13" t="str">
        <x:v>WXSC-added next largest</x:v>
      </x:c>
      <x:c r="T103" s="13" t="str">
        <x:v>Next 50 largest apparent-size galaxies from WXSC, excluding the project-discussed list</x:v>
      </x:c>
      <x:c r="U103" s="13" t="str">
        <x:v>Star-forming spiral; low southern target from NJ.</x:v>
      </x:c>
      <x:c r="V103" s="13" t="str">
        <x:v>https://cdsarc.cds.unistra.fr/ftp/J/ApJS/245/25/table1.dat</x:v>
      </x:c>
      <x:c r="W103" s="13" t="str">
        <x:v>https://cdsarc.cds.unistra.fr/viz-bin/ReadMe/J/ApJS/245/25?format=html&amp;tex=true</x:v>
      </x:c>
    </x:row>
    <x:row r="104">
      <x:c r="A104" s="13" t="str">
        <x:v>NGC 5078</x:v>
      </x:c>
      <x:c r="B104" s="13" t="str">
        <x:v>—</x:v>
      </x:c>
      <x:c r="C104" s="13" t="str">
        <x:v>13:19:50.05</x:v>
      </x:c>
      <x:c r="D104" s="13" t="str">
        <x:v>-27:24:36.5</x:v>
      </x:c>
      <x:c r="E104" s="13" t="str">
        <x:v>Hydra</x:v>
      </x:c>
      <x:c r="F104" s="13" t="str">
        <x:v>Both hemispheres</x:v>
      </x:c>
      <x:c r="G104" s="13" t="str">
        <x:v>12.64 × 4.93</x:v>
      </x:c>
      <x:c r="H104" s="16" t="n">
        <x:v>12.64</x:v>
      </x:c>
      <x:c r="I104" s="16" t="n">
        <x:v>4.93</x:v>
      </x:c>
      <x:c r="J104" s="16" t="n">
        <x:v>6.71</x:v>
      </x:c>
      <x:c r="K104" s="13" t="str">
        <x:v>W1 (3.4 μm)</x:v>
      </x:c>
      <x:c r="L104" s="13" t="str">
        <x:v>Sa (WXSC/RC3)</x:v>
      </x:c>
      <x:c r="M104" s="13" t="str">
        <x:v>Weak</x:v>
      </x:c>
      <x:c r="N104" s="13" t="str">
        <x:v>Yes</x:v>
      </x:c>
      <x:c r="O104" s="13" t="str">
        <x:v>No</x:v>
      </x:c>
      <x:c r="P104" s="13" t="str">
        <x:v>Low southern from NJ</x:v>
      </x:c>
      <x:c r="Q104" s="18" t="n">
        <x:v>2</x:v>
      </x:c>
      <x:c r="R104" s="18" t="n">
        <x:v>77</x:v>
      </x:c>
      <x:c r="S104" s="13" t="str">
        <x:v>WXSC-added next largest</x:v>
      </x:c>
      <x:c r="T104" s="13" t="str">
        <x:v>Next 50 largest apparent-size galaxies from WXSC, excluding the project-discussed list</x:v>
      </x:c>
      <x:c r="U104" s="13" t="str">
        <x:v>Edge-on spiral/early-type disk; dust lane more likely than Hα detail.</x:v>
      </x:c>
      <x:c r="V104" s="13" t="str">
        <x:v>https://cdsarc.cds.unistra.fr/ftp/J/ApJS/245/25/table1.dat</x:v>
      </x:c>
      <x:c r="W104" s="13" t="str">
        <x:v>https://cdsarc.cds.unistra.fr/viz-bin/ReadMe/J/ApJS/245/25?format=html&amp;tex=true</x:v>
      </x:c>
    </x:row>
  </x:sheetData>
  <x:conditionalFormatting sqref="M2:M104">
    <x:cfRule type="expression" dxfId="0" priority="1">
      <x:formula>$M2="Yes"</x:formula>
    </x:cfRule>
    <x:cfRule type="expression" dxfId="1" priority="2">
      <x:formula>$M2="Weak"</x:formula>
    </x:cfRule>
    <x:cfRule type="expression" dxfId="2" priority="3">
      <x:formula>$M2="No"</x:formula>
    </x:cfRule>
  </x:conditionalFormatting>
  <x:conditionalFormatting sqref="N2:N104">
    <x:cfRule type="expression" dxfId="3" priority="4">
      <x:formula>$N2="Yes"</x:formula>
    </x:cfRule>
    <x:cfRule type="expression" dxfId="4" priority="5">
      <x:formula>$N2="Weak"</x:formula>
    </x:cfRule>
    <x:cfRule type="expression" dxfId="5" priority="6">
      <x:formula>$N2="No"</x:formula>
    </x:cfRule>
  </x:conditionalFormatting>
  <x:conditionalFormatting sqref="O2:O104">
    <x:cfRule type="expression" dxfId="6" priority="7">
      <x:formula>$O2="Yes"</x:formula>
    </x:cfRule>
    <x:cfRule type="expression" dxfId="7" priority="8">
      <x:formula>$O2="Weak"</x:formula>
    </x:cfRule>
    <x:cfRule type="expression" dxfId="8" priority="9">
      <x:formula>$O2="No"</x:formula>
    </x:cfRule>
  </x:conditionalFormatting>
  <x:conditionalFormatting sqref="Q2:Q104">
    <x:cfRule type="dataBar" priority="10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{E9299B26-D073-29F8-EA28-CE280DA89B41}</x14:id>
        </x:ext>
      </x:extLst>
    </x:cfRule>
  </x:conditionalFormatting>
  <x:dataValidations count="1">
    <x:dataValidation type="list" sqref="M2:O104">
      <x:formula1>"Yes,Weak,No"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e965a6cccc43e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E9299B26-D073-29F8-EA28-CE280DA89B41}">
            <x14:dataBar gradient="1">
              <x14:cfvo type="min"/>
              <x14:cfvo type="max"/>
              <x14:fillColor rgb="60A5FA"/>
            </x14:dataBar>
          </x14:cfRule>
          <xm:sqref>Q2:Q104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" hidden="0" customWidth="1"/>
    <x:col min="4" max="4" width="16" hidden="0" customWidth="1"/>
    <x:col min="5" max="5" width="12" hidden="0" customWidth="1"/>
    <x:col min="6" max="6" width="3" hidden="0" customWidth="1"/>
    <x:col min="7" max="7" width="16" hidden="0" customWidth="1"/>
    <x:col min="8" max="8" width="12" hidden="0" customWidth="1"/>
  </x:cols>
  <x:sheetData>
    <x:row r="1" ht="28" customHeight="1">
      <x:c r="A1" s="22" t="str">
        <x:v>Galaxy Hα / Dust Consolidated Index</x:v>
      </x:c>
      <x:c r="B1" s="22"/>
      <x:c r="C1" s="22"/>
      <x:c r="D1" s="22"/>
      <x:c r="E1" s="22"/>
      <x:c r="F1" s="22"/>
      <x:c r="G1" s="22"/>
      <x:c r="H1" s="22"/>
    </x:row>
    <x:row r="3">
      <x:c r="A3" s="28" t="str">
        <x:v>Metric</x:v>
      </x:c>
      <x:c r="B3" s="28" t="str">
        <x:v>Value</x:v>
      </x:c>
      <x:c r="C3" s="28" t="str"/>
      <x:c r="D3" s="28" t="str">
        <x:v>Visible Hα?</x:v>
      </x:c>
      <x:c r="E3" s="28" t="str">
        <x:v>Count</x:v>
      </x:c>
      <x:c r="F3" s="28" t="str"/>
      <x:c r="G3" s="28" t="str">
        <x:v>Visible Dust?</x:v>
      </x:c>
      <x:c r="H3" s="28" t="str">
        <x:v>Count</x:v>
      </x:c>
    </x:row>
    <x:row r="4">
      <x:c r="A4" s="13" t="str">
        <x:v>Total rows</x:v>
      </x:c>
      <x:c r="B4" s="18" t="n">
        <x:f>COUNTA('Galaxy Index'!A2:A104)</x:f>
        <x:v>103</x:v>
      </x:c>
      <x:c r="C4" s="13" t="str"/>
      <x:c r="D4" s="13" t="str">
        <x:v>Yes</x:v>
      </x:c>
      <x:c r="E4" s="18" t="n">
        <x:f>COUNTIF('Galaxy Index'!M2:M104,"Yes")</x:f>
        <x:v>36</x:v>
      </x:c>
      <x:c r="F4" s="13" t="str"/>
      <x:c r="G4" s="13" t="str">
        <x:v>Yes</x:v>
      </x:c>
      <x:c r="H4" s="18" t="n">
        <x:f>COUNTIF('Galaxy Index'!N2:N104,"Yes")</x:f>
        <x:v>37</x:v>
      </x:c>
    </x:row>
    <x:row r="5">
      <x:c r="A5" s="13" t="str">
        <x:v>Project-discussed rows</x:v>
      </x:c>
      <x:c r="B5" s="18" t="n">
        <x:f>COUNTIF('Galaxy Index'!S2:S104,"Project-discussed target")</x:f>
        <x:v>53</x:v>
      </x:c>
      <x:c r="C5" s="13" t="str"/>
      <x:c r="D5" s="13" t="str">
        <x:v>Weak</x:v>
      </x:c>
      <x:c r="E5" s="18" t="n">
        <x:f>COUNTIF('Galaxy Index'!M2:M104,"Weak")</x:f>
        <x:v>38</x:v>
      </x:c>
      <x:c r="F5" s="13" t="str"/>
      <x:c r="G5" s="13" t="str">
        <x:v>Weak</x:v>
      </x:c>
      <x:c r="H5" s="18" t="n">
        <x:f>COUNTIF('Galaxy Index'!N2:N104,"Weak")</x:f>
        <x:v>43</x:v>
      </x:c>
    </x:row>
    <x:row r="6">
      <x:c r="A6" s="13" t="str">
        <x:v>WXSC-added rows</x:v>
      </x:c>
      <x:c r="B6" s="18" t="n">
        <x:f>COUNTIF('Galaxy Index'!S2:S104,"WXSC-added next largest")</x:f>
        <x:v>50</x:v>
      </x:c>
      <x:c r="C6" s="13" t="str"/>
      <x:c r="D6" s="13" t="str">
        <x:v>No</x:v>
      </x:c>
      <x:c r="E6" s="18" t="n">
        <x:f>COUNTIF('Galaxy Index'!M2:M104,"No")</x:f>
        <x:v>29</x:v>
      </x:c>
      <x:c r="F6" s="13" t="str"/>
      <x:c r="G6" s="13" t="str">
        <x:v>No</x:v>
      </x:c>
      <x:c r="H6" s="18" t="n">
        <x:f>COUNTIF('Galaxy Index'!N2:N104,"No")</x:f>
        <x:v>23</x:v>
      </x:c>
    </x:row>
    <x:row r="7">
      <x:c r="A7" s="13" t="str">
        <x:v>Rows with OIII/SII = Yes</x:v>
      </x:c>
      <x:c r="B7" s="18" t="n">
        <x:f>COUNTIF('Galaxy Index'!O2:O104,"Yes")</x:f>
        <x:v>0</x:v>
      </x:c>
      <x:c r="C7" s="13" t="str"/>
      <x:c r="D7" s="13" t="str">
        <x:v>OIII/SII Weak</x:v>
      </x:c>
      <x:c r="E7" s="18" t="n">
        <x:f>COUNTIF('Galaxy Index'!O2:O104,"Weak")</x:f>
        <x:v>21</x:v>
      </x:c>
      <x:c r="F7" s="13" t="str"/>
      <x:c r="G7" s="13" t="str">
        <x:v>OIII/SII No</x:v>
      </x:c>
      <x:c r="H7" s="18" t="n">
        <x:f>COUNTIF('Galaxy Index'!O2:O104,"No")</x:f>
        <x:v>82</x:v>
      </x:c>
    </x:row>
    <x:row r="10">
      <x:c r="A10" s="27" t="str">
        <x:v>Interpretation notes</x:v>
      </x:c>
      <x:c r="B10" s="27"/>
      <x:c r="C10" s="27"/>
      <x:c r="D10" s="27"/>
      <x:c r="E10" s="27"/>
      <x:c r="F10" s="27"/>
      <x:c r="G10" s="27"/>
      <x:c r="H10" s="27"/>
    </x:row>
    <x:row r="11">
      <x:c r="A11" s="13" t="str">
        <x:v>Visible Hα? values are simplified to Yes / Weak / No. “Weak” means real emission may exist but is subtle, compact, low-contrast, or difficult at Seestar scale.</x:v>
      </x:c>
      <x:c r="B11" s="13"/>
      <x:c r="C11" s="13"/>
      <x:c r="D11" s="13"/>
      <x:c r="E11" s="13"/>
      <x:c r="F11" s="13"/>
      <x:c r="G11" s="13"/>
      <x:c r="H11" s="13"/>
    </x:row>
    <x:row r="12">
      <x:c r="A12" s="13" t="str">
        <x:v>OIII/SII-rich? is intentionally conservative: none are marked Yes. Galaxies can contain localized OIII/SII in H II regions, shocks, starbursts, or AGN structures, but they are generally not OIII/SII-rich broadband targets in the way emission nebulae are.</x:v>
      </x:c>
      <x:c r="B12" s="13"/>
      <x:c r="C12" s="13"/>
      <x:c r="D12" s="13"/>
      <x:c r="E12" s="13"/>
      <x:c r="F12" s="13"/>
      <x:c r="G12" s="13"/>
      <x:c r="H12" s="13"/>
    </x:row>
    <x:row r="13">
      <x:c r="A13" s="13" t="str">
        <x:v>Visible Dust? uses Yes / Weak / No for dust lanes, dark structure, or dust-reddened detail likely to be visible in normal astrophotography processing.</x:v>
      </x:c>
      <x:c r="B13" s="13"/>
      <x:c r="C13" s="13"/>
      <x:c r="D13" s="13"/>
      <x:c r="E13" s="13"/>
      <x:c r="F13" s="13"/>
      <x:c r="G13" s="13"/>
      <x:c r="H13" s="13"/>
    </x:row>
    <x:row r="14">
      <x:c r="A14" s="13" t="str">
        <x:v>Magnitude note: project-discussed rows keep the prior V magnitudes from OpenNGC; WXSC-added rows use WISE W1 (3.4 μm) magnitudes because the largest-apparent-size source ranks galaxies in W1.</x:v>
      </x:c>
      <x:c r="B14" s="13"/>
      <x:c r="C14" s="13"/>
      <x:c r="D14" s="13"/>
      <x:c r="E14" s="13"/>
      <x:c r="F14" s="13"/>
      <x:c r="G14" s="13"/>
      <x:c r="H14" s="13"/>
    </x:row>
    <x:row r="15">
      <x:c r="A15" s="13" t="str">
        <x:v>The 50 additions are the next largest apparent-size galaxies from the WXSC top-100 W1 angular-size list, after excluding galaxies already present in the project-discussed list.</x:v>
      </x:c>
      <x:c r="B15" s="13"/>
      <x:c r="C15" s="13"/>
      <x:c r="D15" s="13"/>
      <x:c r="E15" s="13"/>
      <x:c r="F15" s="13"/>
      <x:c r="G15" s="13"/>
      <x:c r="H15" s="13"/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2836bcfce3414ce5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72" hidden="0" customWidth="1"/>
  </x:cols>
  <x:sheetData>
    <x:row r="1">
      <x:c r="A1" s="6" t="str">
        <x:v>Source / note</x:v>
      </x:c>
      <x:c r="B1" s="6" t="str">
        <x:v>How used</x:v>
      </x:c>
      <x:c r="C1" s="6" t="str">
        <x:v>URL</x:v>
      </x:c>
    </x:row>
    <x:row r="2">
      <x:c r="A2" s="13" t="str">
        <x:v>OpenNGC / GAVO table</x:v>
      </x:c>
      <x:c r="B2" s="13" t="str">
        <x:v>Primary source for prior catalog fields; OpenNGC merges data from NED, HyperLEDA, SIMBAD, and HEASARC.</x:v>
      </x:c>
      <x:c r="C2" s="13" t="str">
        <x:v>https://dc.g-vo.org/tableinfo/openngc.data</x:v>
      </x:c>
    </x:row>
    <x:row r="3">
      <x:c r="A3" s="13" t="str">
        <x:v>OpenNGC guide</x:v>
      </x:c>
      <x:c r="B3" s="13" t="str">
        <x:v>Column definitions for RA/Dec, angular size, magnitude bands, Hubble type, and common names.</x:v>
      </x:c>
      <x:c r="C3" s="13" t="str">
        <x:v>https://github.com/mattiaverga/OpenNGC/blob/master/NGC_guide.txt</x:v>
      </x:c>
    </x:row>
    <x:row r="4">
      <x:c r="A4" s="13" t="str">
        <x:v>WXSC VizieR ReadMe</x:v>
      </x:c>
      <x:c r="B4" s="13" t="str">
        <x:v>Source for the 100 largest WISE W1 angular-size galaxies and column definitions.</x:v>
      </x:c>
      <x:c r="C4" s="13" t="str">
        <x:v>https://cdsarc.cds.unistra.fr/viz-bin/ReadMe/J/ApJS/245/25?format=html&amp;tex=true</x:v>
      </x:c>
    </x:row>
    <x:row r="5">
      <x:c r="A5" s="13" t="str">
        <x:v>WXSC table1.dat</x:v>
      </x:c>
      <x:c r="B5" s="13" t="str">
        <x:v>Row-level source for the added 50 galaxies: RA/Dec, morphology, b/a, W1 semi-major axis, and W1 magnitude.</x:v>
      </x:c>
      <x:c r="C5" s="13" t="str">
        <x:v>https://cdsarc.cds.unistra.fr/ftp/J/ApJS/245/25/table1.dat</x:v>
      </x:c>
    </x:row>
    <x:row r="6">
      <x:c r="A6" s="13" t="str">
        <x:v>PHANGS-Hα survey</x:v>
      </x:c>
      <x:c r="B6" s="13" t="str">
        <x:v>General support that Hα narrowband imaging maps star-forming regions in nearby galaxies.</x:v>
      </x:c>
      <x:c r="C6" s="13" t="str">
        <x:v>https://arxiv.org/abs/2604.25627</x:v>
      </x:c>
    </x:row>
    <x:row r="7">
      <x:c r="A7" s="13" t="str">
        <x:v>NED dust morphology reference</x:v>
      </x:c>
      <x:c r="B7" s="13" t="str">
        <x:v>General support that dust lanes are a visible interstellar-medium feature in optical galaxy images.</x:v>
      </x:c>
      <x:c r="C7" s="13" t="str">
        <x:v>https://ned.ipac.caltech.edu/level5/Sept11/Buta/Buta8.html</x:v>
      </x:c>
    </x:row>
    <x:row r="8">
      <x:c r="A8" s="13" t="str">
        <x:v>Classification caveat</x:v>
      </x:c>
      <x:c r="B8" s="13" t="str">
        <x:v>Hα, OIII/SII, and visible-dust classifications are imaging-planning estimates, not calibrated emission-line fluxes.</x:v>
      </x:c>
      <x:c r="C8" s="13" t="str"/>
    </x:row>
    <x:row r="9">
      <x:c r="A9" s="13" t="str">
        <x:v>OIII/SII caveat</x:v>
      </x:c>
      <x:c r="B9" s="13" t="str">
        <x:v>No row is marked OIII/SII-rich. “Weak” means localized line emission may be present in star-forming, shocked, or AGN/starburst regions.</x:v>
      </x:c>
      <x:c r="C9" s="13" t="str"/>
    </x:row>
  </x:sheetData>
  <x:pageMargins left="0.7" right="0.7" top="0.75" bottom="0.75" header="0.3" footer="0.3"/>
  <x:tableParts count="1">
    <x:tablePart xmlns:r="http://schemas.openxmlformats.org/officeDocument/2006/relationships" r:id="R430c02ebf2a34e64"/>
  </x:tableParts>
</x:worksheet>
</file>